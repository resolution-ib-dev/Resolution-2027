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 sheetId="1" state="visible" r:id="rId1"/>
    <sheet xmlns:r="http://schemas.openxmlformats.org/officeDocument/2006/relationships" name="T2" sheetId="2" state="visible" r:id="rId2"/>
    <sheet xmlns:r="http://schemas.openxmlformats.org/officeDocument/2006/relationships" name="T3" sheetId="3" state="visible" r:id="rId3"/>
    <sheet xmlns:r="http://schemas.openxmlformats.org/officeDocument/2006/relationships" name="T4" sheetId="4" state="visible" r:id="rId4"/>
    <sheet xmlns:r="http://schemas.openxmlformats.org/officeDocument/2006/relationships" name="T5" sheetId="5" state="visible" r:id="rId5"/>
    <sheet xmlns:r="http://schemas.openxmlformats.org/officeDocument/2006/relationships" name="T6" sheetId="6" state="visible" r:id="rId6"/>
    <sheet xmlns:r="http://schemas.openxmlformats.org/officeDocument/2006/relationships" name="T7"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
    <font>
      <name val="Calibri"/>
      <family val="2"/>
      <color theme="1"/>
      <sz val="11"/>
      <scheme val="minor"/>
    </font>
    <font>
      <b val="1"/>
      <sz val="13"/>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bottom" wrapText="1"/>
    </xf>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T1 — Une heure de travail</t>
        </is>
      </c>
    </row>
    <row r="2" ht="75" customHeight="1">
      <c r="A2" s="2" t="inlineStr">
        <is>
          <t>Euros courants par heure travaillée (emploi intérieur, Eurostat). Prélèvements : impôts et cotisations effectives, non recouvré retranché, crédits d'impôt non retranchés, hors cotisations et impôts sur la masse salariale publique. Variante « crédits » du calcul du produit privé restant ; dernière colonne, le classeur de l'auteur tel quel.</t>
        </is>
      </c>
    </row>
    <row r="4" ht="45" customHeight="1">
      <c r="A4" s="3" t="inlineStr">
        <is>
          <t>Année</t>
        </is>
      </c>
      <c r="B4" s="3" t="inlineStr">
        <is>
          <t>PIB</t>
        </is>
      </c>
      <c r="C4" s="3" t="inlineStr">
        <is>
          <t>dont production publique comptée à son coût</t>
        </is>
      </c>
      <c r="D4" s="3" t="inlineStr">
        <is>
          <t>Produit privé</t>
        </is>
      </c>
      <c r="E4" s="3" t="inlineStr">
        <is>
          <t>Prélevé (impôts et cotisations)</t>
        </is>
      </c>
      <c r="F4" s="3" t="inlineStr">
        <is>
          <t>Autres recettes publiques</t>
        </is>
      </c>
      <c r="G4" s="3" t="inlineStr">
        <is>
          <t>Emprunté (impôt futur)</t>
        </is>
      </c>
      <c r="H4" s="3" t="inlineStr">
        <is>
          <t>Produit privé restant</t>
        </is>
      </c>
      <c r="I4" s="3" t="inlineStr">
        <is>
          <t>Restant, classeur de l'auteur</t>
        </is>
      </c>
    </row>
    <row r="5">
      <c r="A5" s="4" t="n">
        <v>2022</v>
      </c>
      <c r="B5" s="5" t="n">
        <v>58.93070274431755</v>
      </c>
      <c r="C5" s="5" t="n">
        <v>9.897948960535835</v>
      </c>
      <c r="D5" s="5" t="n">
        <v>49.03275378378171</v>
      </c>
      <c r="E5" s="5" t="n">
        <v>24.29901247170607</v>
      </c>
      <c r="F5" s="5" t="n">
        <v>2.878064200166017</v>
      </c>
      <c r="G5" s="5" t="n">
        <v>2.795454541417362</v>
      </c>
      <c r="H5" s="5" t="n">
        <v>19.06022257049226</v>
      </c>
      <c r="I5" s="5" t="n">
        <v>21.20487180762523</v>
      </c>
    </row>
    <row r="6">
      <c r="A6" s="4" t="n">
        <v>2023</v>
      </c>
      <c r="B6" s="5" t="n">
        <v>62.1462473883925</v>
      </c>
      <c r="C6" s="5" t="n">
        <v>10.21745723783978</v>
      </c>
      <c r="D6" s="5" t="n">
        <v>51.92879015055271</v>
      </c>
      <c r="E6" s="5" t="n">
        <v>24.43404681665727</v>
      </c>
      <c r="F6" s="5" t="n">
        <v>2.966744452931416</v>
      </c>
      <c r="G6" s="5" t="n">
        <v>3.331635939228028</v>
      </c>
      <c r="H6" s="5" t="n">
        <v>21.19636294173599</v>
      </c>
      <c r="I6" s="5" t="n">
        <v>23.36169395222716</v>
      </c>
    </row>
    <row r="7">
      <c r="A7" s="4" t="n">
        <v>2024</v>
      </c>
      <c r="B7" s="5" t="n">
        <v>63.4351625360225</v>
      </c>
      <c r="C7" s="5" t="n">
        <v>10.49390406846038</v>
      </c>
      <c r="D7" s="5" t="n">
        <v>52.94125846756211</v>
      </c>
      <c r="E7" s="5" t="n">
        <v>24.63608958857106</v>
      </c>
      <c r="F7" s="5" t="n">
        <v>3.16759789273879</v>
      </c>
      <c r="G7" s="5" t="n">
        <v>3.654913663256817</v>
      </c>
      <c r="H7" s="5" t="n">
        <v>21.48265732299545</v>
      </c>
      <c r="I7" s="5" t="n">
        <v>23.7008573853017</v>
      </c>
    </row>
    <row r="8">
      <c r="A8" s="4" t="n">
        <v>2025</v>
      </c>
      <c r="B8" s="5" t="n">
        <v>65.08675427529388</v>
      </c>
      <c r="C8" s="5" t="n">
        <v>10.79436319656891</v>
      </c>
      <c r="D8" s="5" t="n">
        <v>54.29239107872497</v>
      </c>
      <c r="E8" s="5" t="n">
        <v>25.77604758765516</v>
      </c>
      <c r="F8" s="5" t="n">
        <v>3.306258171188709</v>
      </c>
      <c r="G8" s="5" t="n">
        <v>3.319166476026907</v>
      </c>
      <c r="H8" s="5" t="n">
        <v>21.89091884385419</v>
      </c>
      <c r="I8" s="5" t="n">
        <v>24.19500991259764</v>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T2 — Produit privé restant, 1959-2025</t>
        </is>
      </c>
    </row>
    <row r="2" ht="75" customHeight="1">
      <c r="A2" s="2" t="inlineStr">
        <is>
          <t>Produit privé = PIB − valeur ajoutée publique. Produit privé restant = produit privé − le plus grand des deux : dépense ou recette publique, hors flux internes au circuit public et hors production immobilisée pour compte propre. Crédits d'impôt gardés des deux côtés (arbitrage du 20261020). Croissances en volume, déflateur du PIB.</t>
        </is>
      </c>
    </row>
    <row r="4" ht="45" customHeight="1">
      <c r="A4" s="3" t="inlineStr">
        <is>
          <t>Année</t>
        </is>
      </c>
      <c r="B4" s="3" t="inlineStr">
        <is>
          <t>PIB</t>
        </is>
      </c>
      <c r="C4" s="3" t="inlineStr">
        <is>
          <t>Valeur ajoutée publique</t>
        </is>
      </c>
      <c r="D4" s="3" t="inlineStr">
        <is>
          <t>Produit privé</t>
        </is>
      </c>
      <c r="E4" s="3" t="inlineStr">
        <is>
          <t>Dépense publique</t>
        </is>
      </c>
      <c r="F4" s="3" t="inlineStr">
        <is>
          <t>Recette publique</t>
        </is>
      </c>
      <c r="G4" s="3" t="inlineStr">
        <is>
          <t>Produit privé restant</t>
        </is>
      </c>
      <c r="H4" s="3" t="inlineStr">
        <is>
          <t>en % du produit privé</t>
        </is>
      </c>
      <c r="I4" s="3" t="inlineStr">
        <is>
          <t>en % du PIB</t>
        </is>
      </c>
      <c r="J4" s="3" t="inlineStr">
        <is>
          <t>Croissance du produit privé</t>
        </is>
      </c>
      <c r="K4" s="3" t="inlineStr">
        <is>
          <t>Croissance du produit privé restant</t>
        </is>
      </c>
      <c r="L4" s="3" t="inlineStr">
        <is>
          <t>Restant, classeur de l'auteur</t>
        </is>
      </c>
    </row>
    <row r="5">
      <c r="A5" s="4" t="n">
        <v>1959</v>
      </c>
      <c r="B5" s="6" t="n">
        <v>42.104</v>
      </c>
      <c r="C5" s="6" t="n">
        <v>5.313</v>
      </c>
      <c r="D5" s="6" t="n">
        <v>36.791</v>
      </c>
      <c r="E5" s="6" t="n">
        <v>14.17287172576151</v>
      </c>
      <c r="F5" s="6" t="n">
        <v>14.50007172576151</v>
      </c>
      <c r="G5" s="6" t="n">
        <v>22.29092827423849</v>
      </c>
      <c r="H5" s="7" t="n">
        <v>0.6058799237378295</v>
      </c>
      <c r="I5" s="7" t="n">
        <v>0.5294254292760423</v>
      </c>
      <c r="J5" s="7" t="n"/>
      <c r="K5" s="7" t="n"/>
      <c r="L5" s="6" t="n">
        <v>23.76732827423848</v>
      </c>
    </row>
    <row r="6">
      <c r="A6" s="4" t="n">
        <v>1960</v>
      </c>
      <c r="B6" s="6" t="n">
        <v>46.634</v>
      </c>
      <c r="C6" s="6" t="n">
        <v>5.689</v>
      </c>
      <c r="D6" s="6" t="n">
        <v>40.945</v>
      </c>
      <c r="E6" s="6" t="n">
        <v>15.42002558894043</v>
      </c>
      <c r="F6" s="6" t="n">
        <v>15.66152558894042</v>
      </c>
      <c r="G6" s="6" t="n">
        <v>25.28347441105958</v>
      </c>
      <c r="H6" s="7" t="n">
        <v>0.6174984591783997</v>
      </c>
      <c r="I6" s="7" t="n">
        <v>0.542168255158459</v>
      </c>
      <c r="J6" s="7" t="n">
        <v>0.08468721066316265</v>
      </c>
      <c r="K6" s="7" t="n">
        <v>0.1054874984846756</v>
      </c>
      <c r="L6" s="6" t="n">
        <v>26.79647441105958</v>
      </c>
    </row>
    <row r="7">
      <c r="A7" s="4" t="n">
        <v>1961</v>
      </c>
      <c r="B7" s="6" t="n">
        <v>50.547</v>
      </c>
      <c r="C7" s="6" t="n">
        <v>6.276</v>
      </c>
      <c r="D7" s="6" t="n">
        <v>44.271</v>
      </c>
      <c r="E7" s="6" t="n">
        <v>17.34559338314973</v>
      </c>
      <c r="F7" s="6" t="n">
        <v>17.58179338314973</v>
      </c>
      <c r="G7" s="6" t="n">
        <v>26.68920661685027</v>
      </c>
      <c r="H7" s="7" t="n">
        <v>0.6028598092848652</v>
      </c>
      <c r="I7" s="7" t="n">
        <v>0.5280077277949289</v>
      </c>
      <c r="J7" s="7" t="n">
        <v>0.04686416658281822</v>
      </c>
      <c r="K7" s="7" t="n">
        <v>0.02204681231592232</v>
      </c>
      <c r="L7" s="6" t="n">
        <v>28.30350661685026</v>
      </c>
    </row>
    <row r="8">
      <c r="A8" s="4" t="n">
        <v>1962</v>
      </c>
      <c r="B8" s="6" t="n">
        <v>56.597</v>
      </c>
      <c r="C8" s="6" t="n">
        <v>7.163</v>
      </c>
      <c r="D8" s="6" t="n">
        <v>49.434</v>
      </c>
      <c r="E8" s="6" t="n">
        <v>20.06787122924501</v>
      </c>
      <c r="F8" s="6" t="n">
        <v>19.77397122924501</v>
      </c>
      <c r="G8" s="6" t="n">
        <v>29.36612877075498</v>
      </c>
      <c r="H8" s="7" t="n">
        <v>0.5940471896013874</v>
      </c>
      <c r="I8" s="7" t="n">
        <v>0.5188636989726484</v>
      </c>
      <c r="J8" s="7" t="n">
        <v>0.06560058678770297</v>
      </c>
      <c r="K8" s="7" t="n">
        <v>0.05002361091168561</v>
      </c>
      <c r="L8" s="6" t="n">
        <v>30.94982877075498</v>
      </c>
    </row>
    <row r="9">
      <c r="A9" s="4" t="n">
        <v>1963</v>
      </c>
      <c r="B9" s="6" t="n">
        <v>63.394</v>
      </c>
      <c r="C9" s="6" t="n">
        <v>8.175000000000001</v>
      </c>
      <c r="D9" s="6" t="n">
        <v>55.21899999999999</v>
      </c>
      <c r="E9" s="6" t="n">
        <v>22.82945465723118</v>
      </c>
      <c r="F9" s="6" t="n">
        <v>22.62695465723118</v>
      </c>
      <c r="G9" s="6" t="n">
        <v>32.38954534276881</v>
      </c>
      <c r="H9" s="7" t="n">
        <v>0.5865652283230195</v>
      </c>
      <c r="I9" s="7" t="n">
        <v>0.5109244619801371</v>
      </c>
      <c r="J9" s="7" t="n">
        <v>0.05817979997748379</v>
      </c>
      <c r="K9" s="7" t="n">
        <v>0.04485213775203811</v>
      </c>
      <c r="L9" s="6" t="n">
        <v>34.17524534276881</v>
      </c>
    </row>
    <row r="10">
      <c r="A10" s="4" t="n">
        <v>1964</v>
      </c>
      <c r="B10" s="6" t="n">
        <v>70.316</v>
      </c>
      <c r="C10" s="6" t="n">
        <v>8.976000000000001</v>
      </c>
      <c r="D10" s="6" t="n">
        <v>61.34</v>
      </c>
      <c r="E10" s="6" t="n">
        <v>25.51545838616792</v>
      </c>
      <c r="F10" s="6" t="n">
        <v>25.60845838616792</v>
      </c>
      <c r="G10" s="6" t="n">
        <v>35.73154161383209</v>
      </c>
      <c r="H10" s="7" t="n">
        <v>0.5825161658596688</v>
      </c>
      <c r="I10" s="7" t="n">
        <v>0.508156630266683</v>
      </c>
      <c r="J10" s="7" t="n">
        <v>0.06739859805213255</v>
      </c>
      <c r="K10" s="7" t="n">
        <v>0.06003034063059665</v>
      </c>
      <c r="L10" s="6" t="n">
        <v>37.80494161383209</v>
      </c>
    </row>
    <row r="11">
      <c r="A11" s="4" t="n">
        <v>1965</v>
      </c>
      <c r="B11" s="6" t="n">
        <v>75.96299999999999</v>
      </c>
      <c r="C11" s="6" t="n">
        <v>9.605</v>
      </c>
      <c r="D11" s="6" t="n">
        <v>66.35799999999999</v>
      </c>
      <c r="E11" s="6" t="n">
        <v>28.12268546861699</v>
      </c>
      <c r="F11" s="6" t="n">
        <v>28.01408546861699</v>
      </c>
      <c r="G11" s="6" t="n">
        <v>38.235314531383</v>
      </c>
      <c r="H11" s="7" t="n">
        <v>0.5761975124534043</v>
      </c>
      <c r="I11" s="7" t="n">
        <v>0.5033412915680398</v>
      </c>
      <c r="J11" s="7" t="n">
        <v>0.04984639960609472</v>
      </c>
      <c r="K11" s="7" t="n">
        <v>0.03845853448283965</v>
      </c>
      <c r="L11" s="6" t="n">
        <v>40.39571453138299</v>
      </c>
    </row>
    <row r="12">
      <c r="A12" s="4" t="n">
        <v>1966</v>
      </c>
      <c r="B12" s="6" t="n">
        <v>82.27</v>
      </c>
      <c r="C12" s="6" t="n">
        <v>10.327</v>
      </c>
      <c r="D12" s="6" t="n">
        <v>71.943</v>
      </c>
      <c r="E12" s="6" t="n">
        <v>30.62180943683654</v>
      </c>
      <c r="F12" s="6" t="n">
        <v>30.22120943683655</v>
      </c>
      <c r="G12" s="6" t="n">
        <v>41.32119056316346</v>
      </c>
      <c r="H12" s="7" t="n">
        <v>0.5743601262549999</v>
      </c>
      <c r="I12" s="7" t="n">
        <v>0.5022631647400444</v>
      </c>
      <c r="J12" s="7" t="n">
        <v>0.05270293218777056</v>
      </c>
      <c r="K12" s="7" t="n">
        <v>0.04934605924608459</v>
      </c>
      <c r="L12" s="6" t="n">
        <v>43.72199056316346</v>
      </c>
    </row>
    <row r="13">
      <c r="A13" s="4" t="n">
        <v>1967</v>
      </c>
      <c r="B13" s="6" t="n">
        <v>88.879</v>
      </c>
      <c r="C13" s="6" t="n">
        <v>11.154</v>
      </c>
      <c r="D13" s="6" t="n">
        <v>77.72500000000001</v>
      </c>
      <c r="E13" s="6" t="n">
        <v>33.71402488075901</v>
      </c>
      <c r="F13" s="6" t="n">
        <v>32.596524880759</v>
      </c>
      <c r="G13" s="6" t="n">
        <v>44.010975119241</v>
      </c>
      <c r="H13" s="7" t="n">
        <v>0.5662396284238147</v>
      </c>
      <c r="I13" s="7" t="n">
        <v>0.4951785587061173</v>
      </c>
      <c r="J13" s="7" t="n">
        <v>0.04811805035502004</v>
      </c>
      <c r="K13" s="7" t="n">
        <v>0.03329940267097942</v>
      </c>
      <c r="L13" s="6" t="n">
        <v>46.578775119241</v>
      </c>
    </row>
    <row r="14">
      <c r="A14" s="4" t="n">
        <v>1968</v>
      </c>
      <c r="B14" s="6" t="n">
        <v>96.874</v>
      </c>
      <c r="C14" s="6" t="n">
        <v>12.943</v>
      </c>
      <c r="D14" s="6" t="n">
        <v>83.931</v>
      </c>
      <c r="E14" s="6" t="n">
        <v>38.55054183001941</v>
      </c>
      <c r="F14" s="6" t="n">
        <v>36.42534183001941</v>
      </c>
      <c r="G14" s="6" t="n">
        <v>45.38045816998059</v>
      </c>
      <c r="H14" s="7" t="n">
        <v>0.5406876859560901</v>
      </c>
      <c r="I14" s="7" t="n">
        <v>0.4684482747690876</v>
      </c>
      <c r="J14" s="7" t="n">
        <v>0.03568991149021894</v>
      </c>
      <c r="K14" s="7" t="n">
        <v>-0.01104628941197827</v>
      </c>
      <c r="L14" s="6" t="n">
        <v>48.64535816998059</v>
      </c>
    </row>
    <row r="15">
      <c r="A15" s="4" t="n">
        <v>1969</v>
      </c>
      <c r="B15" s="6" t="n">
        <v>111.382</v>
      </c>
      <c r="C15" s="6" t="n">
        <v>14.543</v>
      </c>
      <c r="D15" s="6" t="n">
        <v>96.839</v>
      </c>
      <c r="E15" s="6" t="n">
        <v>42.99036030021842</v>
      </c>
      <c r="F15" s="6" t="n">
        <v>41.99576030021842</v>
      </c>
      <c r="G15" s="6" t="n">
        <v>53.84863969978158</v>
      </c>
      <c r="H15" s="7" t="n">
        <v>0.5560635663294911</v>
      </c>
      <c r="I15" s="7" t="n">
        <v>0.4834590840511175</v>
      </c>
      <c r="J15" s="7" t="n">
        <v>0.07473866294767406</v>
      </c>
      <c r="K15" s="7" t="n">
        <v>0.1053016913712479</v>
      </c>
      <c r="L15" s="6" t="n">
        <v>57.12283969978157</v>
      </c>
    </row>
    <row r="16">
      <c r="A16" s="4" t="n">
        <v>1970</v>
      </c>
      <c r="B16" s="6" t="n">
        <v>124.73</v>
      </c>
      <c r="C16" s="6" t="n">
        <v>16.318</v>
      </c>
      <c r="D16" s="6" t="n">
        <v>108.412</v>
      </c>
      <c r="E16" s="6" t="n">
        <v>47.16195111766041</v>
      </c>
      <c r="F16" s="6" t="n">
        <v>46.20815111766041</v>
      </c>
      <c r="G16" s="6" t="n">
        <v>61.25004888233959</v>
      </c>
      <c r="H16" s="7" t="n">
        <v>0.5649748079764195</v>
      </c>
      <c r="I16" s="7" t="n">
        <v>0.4910610829979924</v>
      </c>
      <c r="J16" s="7" t="n">
        <v>0.0616523411267309</v>
      </c>
      <c r="K16" s="7" t="n">
        <v>0.07866593656736764</v>
      </c>
      <c r="L16" s="6" t="n">
        <v>64.78544888233959</v>
      </c>
    </row>
    <row r="17">
      <c r="A17" s="4" t="n">
        <v>1971</v>
      </c>
      <c r="B17" s="6" t="n">
        <v>139.117</v>
      </c>
      <c r="C17" s="6" t="n">
        <v>18.611</v>
      </c>
      <c r="D17" s="6" t="n">
        <v>120.506</v>
      </c>
      <c r="E17" s="6" t="n">
        <v>51.99719635189697</v>
      </c>
      <c r="F17" s="6" t="n">
        <v>50.53229635189697</v>
      </c>
      <c r="G17" s="6" t="n">
        <v>68.50880364810301</v>
      </c>
      <c r="H17" s="7" t="n">
        <v>0.5685094820847345</v>
      </c>
      <c r="I17" s="7" t="n">
        <v>0.4924545788660122</v>
      </c>
      <c r="J17" s="7" t="n">
        <v>0.04934330760902705</v>
      </c>
      <c r="K17" s="7" t="n">
        <v>0.05590835540898875</v>
      </c>
      <c r="L17" s="6" t="n">
        <v>72.58650364810302</v>
      </c>
    </row>
    <row r="18">
      <c r="A18" s="4" t="n">
        <v>1972</v>
      </c>
      <c r="B18" s="6" t="n">
        <v>155.137</v>
      </c>
      <c r="C18" s="6" t="n">
        <v>20.887</v>
      </c>
      <c r="D18" s="6" t="n">
        <v>134.25</v>
      </c>
      <c r="E18" s="6" t="n">
        <v>57.66872420307094</v>
      </c>
      <c r="F18" s="6" t="n">
        <v>56.84142420307094</v>
      </c>
      <c r="G18" s="6" t="n">
        <v>76.58127579692905</v>
      </c>
      <c r="H18" s="7" t="n">
        <v>0.5704378085432331</v>
      </c>
      <c r="I18" s="7" t="n">
        <v>0.493636436162418</v>
      </c>
      <c r="J18" s="7" t="n">
        <v>0.04412856473799298</v>
      </c>
      <c r="K18" s="7" t="n">
        <v>0.047670142848661</v>
      </c>
      <c r="L18" s="6" t="n">
        <v>81.46437579692906</v>
      </c>
    </row>
    <row r="19">
      <c r="A19" s="4" t="n">
        <v>1973</v>
      </c>
      <c r="B19" s="6" t="n">
        <v>177.826</v>
      </c>
      <c r="C19" s="6" t="n">
        <v>23.368</v>
      </c>
      <c r="D19" s="6" t="n">
        <v>154.458</v>
      </c>
      <c r="E19" s="6" t="n">
        <v>66.07411499532888</v>
      </c>
      <c r="F19" s="6" t="n">
        <v>64.63221499532888</v>
      </c>
      <c r="G19" s="6" t="n">
        <v>88.38388500467111</v>
      </c>
      <c r="H19" s="7" t="n">
        <v>0.5722195354379256</v>
      </c>
      <c r="I19" s="7" t="n">
        <v>0.4970245352460895</v>
      </c>
      <c r="J19" s="7" t="n">
        <v>0.06591154295593138</v>
      </c>
      <c r="K19" s="7" t="n">
        <v>0.06924085113818124</v>
      </c>
      <c r="L19" s="6" t="n">
        <v>93.15318500467112</v>
      </c>
    </row>
    <row r="20">
      <c r="A20" s="4" t="n">
        <v>1974</v>
      </c>
      <c r="B20" s="6" t="n">
        <v>207.304</v>
      </c>
      <c r="C20" s="6" t="n">
        <v>28.362</v>
      </c>
      <c r="D20" s="6" t="n">
        <v>178.942</v>
      </c>
      <c r="E20" s="6" t="n">
        <v>77.55524039798108</v>
      </c>
      <c r="F20" s="6" t="n">
        <v>76.17254039798108</v>
      </c>
      <c r="G20" s="6" t="n">
        <v>101.3867596020189</v>
      </c>
      <c r="H20" s="7" t="n">
        <v>0.5665900660662053</v>
      </c>
      <c r="I20" s="7" t="n">
        <v>0.4890728572628552</v>
      </c>
      <c r="J20" s="7" t="n">
        <v>0.03766198023094991</v>
      </c>
      <c r="K20" s="7" t="n">
        <v>0.02745350957564785</v>
      </c>
      <c r="L20" s="6" t="n">
        <v>107.1951596020189</v>
      </c>
    </row>
    <row r="21">
      <c r="A21" s="4" t="n">
        <v>1975</v>
      </c>
      <c r="B21" s="6" t="n">
        <v>233.583</v>
      </c>
      <c r="C21" s="6" t="n">
        <v>34.675</v>
      </c>
      <c r="D21" s="6" t="n">
        <v>198.908</v>
      </c>
      <c r="E21" s="6" t="n">
        <v>97.87932326818741</v>
      </c>
      <c r="F21" s="6" t="n">
        <v>89.0586232681874</v>
      </c>
      <c r="G21" s="6" t="n">
        <v>101.0286767318126</v>
      </c>
      <c r="H21" s="7" t="n">
        <v>0.5079166083406027</v>
      </c>
      <c r="I21" s="7" t="n">
        <v>0.432517249679183</v>
      </c>
      <c r="J21" s="7" t="n">
        <v>-0.02281446256729358</v>
      </c>
      <c r="K21" s="7" t="n">
        <v>-0.1240072962480888</v>
      </c>
      <c r="L21" s="6" t="n">
        <v>108.3009767318126</v>
      </c>
    </row>
    <row r="22">
      <c r="A22" s="4" t="n">
        <v>1976</v>
      </c>
      <c r="B22" s="6" t="n">
        <v>269.716</v>
      </c>
      <c r="C22" s="6" t="n">
        <v>41.151</v>
      </c>
      <c r="D22" s="6" t="n">
        <v>228.565</v>
      </c>
      <c r="E22" s="6" t="n">
        <v>113.5982497088022</v>
      </c>
      <c r="F22" s="6" t="n">
        <v>106.8785497088022</v>
      </c>
      <c r="G22" s="6" t="n">
        <v>114.9667502911978</v>
      </c>
      <c r="H22" s="7" t="n">
        <v>0.5029936792212185</v>
      </c>
      <c r="I22" s="7" t="n">
        <v>0.4262511318987298</v>
      </c>
      <c r="J22" s="7" t="n">
        <v>0.0383093386737734</v>
      </c>
      <c r="K22" s="7" t="n">
        <v>0.02824563295053406</v>
      </c>
      <c r="L22" s="6" t="n">
        <v>123.3108502911978</v>
      </c>
    </row>
    <row r="23">
      <c r="A23" s="4" t="n">
        <v>1977</v>
      </c>
      <c r="B23" s="6" t="n">
        <v>303.907</v>
      </c>
      <c r="C23" s="6" t="n">
        <v>47.768</v>
      </c>
      <c r="D23" s="6" t="n">
        <v>256.139</v>
      </c>
      <c r="E23" s="6" t="n">
        <v>124.6736992569445</v>
      </c>
      <c r="F23" s="6" t="n">
        <v>118.5848992569445</v>
      </c>
      <c r="G23" s="6" t="n">
        <v>131.4653007430555</v>
      </c>
      <c r="H23" s="7" t="n">
        <v>0.5132576481639092</v>
      </c>
      <c r="I23" s="7" t="n">
        <v>0.4325839837287576</v>
      </c>
      <c r="J23" s="7" t="n">
        <v>0.02990492445831539</v>
      </c>
      <c r="K23" s="7" t="n">
        <v>0.05092091848617519</v>
      </c>
      <c r="L23" s="6" t="n">
        <v>140.6843007430555</v>
      </c>
    </row>
    <row r="24">
      <c r="A24" s="4" t="n">
        <v>1978</v>
      </c>
      <c r="B24" s="6" t="n">
        <v>345.186</v>
      </c>
      <c r="C24" s="6" t="n">
        <v>55.599</v>
      </c>
      <c r="D24" s="6" t="n">
        <v>289.587</v>
      </c>
      <c r="E24" s="6" t="n">
        <v>140.9916696058635</v>
      </c>
      <c r="F24" s="6" t="n">
        <v>134.7275696058636</v>
      </c>
      <c r="G24" s="6" t="n">
        <v>148.5953303941365</v>
      </c>
      <c r="H24" s="7" t="n">
        <v>0.5131284567129618</v>
      </c>
      <c r="I24" s="7" t="n">
        <v>0.4304790182514252</v>
      </c>
      <c r="J24" s="7" t="n">
        <v>0.03471955451496989</v>
      </c>
      <c r="K24" s="7" t="n">
        <v>0.03445910652934359</v>
      </c>
      <c r="L24" s="6" t="n">
        <v>156.8326303941365</v>
      </c>
    </row>
    <row r="25">
      <c r="A25" s="4" t="n">
        <v>1979</v>
      </c>
      <c r="B25" s="6" t="n">
        <v>394.491</v>
      </c>
      <c r="C25" s="6" t="n">
        <v>63.542</v>
      </c>
      <c r="D25" s="6" t="n">
        <v>330.949</v>
      </c>
      <c r="E25" s="6" t="n">
        <v>161.5376921289871</v>
      </c>
      <c r="F25" s="6" t="n">
        <v>159.6188921289871</v>
      </c>
      <c r="G25" s="6" t="n">
        <v>169.4113078710129</v>
      </c>
      <c r="H25" s="7" t="n">
        <v>0.5118955122118903</v>
      </c>
      <c r="I25" s="7" t="n">
        <v>0.4294427702305322</v>
      </c>
      <c r="J25" s="7" t="n">
        <v>0.03695004121847001</v>
      </c>
      <c r="K25" s="7" t="n">
        <v>0.03445845878042708</v>
      </c>
      <c r="L25" s="6" t="n">
        <v>179.1891078710129</v>
      </c>
    </row>
    <row r="26">
      <c r="A26" s="4" t="n">
        <v>1980</v>
      </c>
      <c r="B26" s="6" t="n">
        <v>447.416</v>
      </c>
      <c r="C26" s="6" t="n">
        <v>73.95399999999999</v>
      </c>
      <c r="D26" s="6" t="n">
        <v>373.462</v>
      </c>
      <c r="E26" s="6" t="n">
        <v>186.8764149900321</v>
      </c>
      <c r="F26" s="6" t="n">
        <v>184.940114990032</v>
      </c>
      <c r="G26" s="6" t="n">
        <v>186.5855850099679</v>
      </c>
      <c r="H26" s="7" t="n">
        <v>0.4996106297560874</v>
      </c>
      <c r="I26" s="7" t="n">
        <v>0.4170293083170202</v>
      </c>
      <c r="J26" s="7" t="n">
        <v>0.01164634541720666</v>
      </c>
      <c r="K26" s="7" t="n">
        <v>-0.01263196166658098</v>
      </c>
      <c r="L26" s="6" t="n">
        <v>198.360385009968</v>
      </c>
    </row>
    <row r="27">
      <c r="A27" s="4" t="n">
        <v>1981</v>
      </c>
      <c r="B27" s="6" t="n">
        <v>504.71</v>
      </c>
      <c r="C27" s="6" t="n">
        <v>85.65600000000001</v>
      </c>
      <c r="D27" s="6" t="n">
        <v>419.054</v>
      </c>
      <c r="E27" s="6" t="n">
        <v>223.0742511210093</v>
      </c>
      <c r="F27" s="6" t="n">
        <v>210.7983511210093</v>
      </c>
      <c r="G27" s="6" t="n">
        <v>195.9797488789906</v>
      </c>
      <c r="H27" s="7" t="n">
        <v>0.467671824822077</v>
      </c>
      <c r="I27" s="7" t="n">
        <v>0.3883016957836989</v>
      </c>
      <c r="J27" s="7" t="n">
        <v>0.006521394598902885</v>
      </c>
      <c r="K27" s="7" t="n">
        <v>-0.05782289387169437</v>
      </c>
      <c r="L27" s="6" t="n">
        <v>209.2792488789906</v>
      </c>
    </row>
    <row r="28">
      <c r="A28" s="4" t="n">
        <v>1982</v>
      </c>
      <c r="B28" s="6" t="n">
        <v>579.251</v>
      </c>
      <c r="C28" s="6" t="n">
        <v>100.828</v>
      </c>
      <c r="D28" s="6" t="n">
        <v>478.423</v>
      </c>
      <c r="E28" s="6" t="n">
        <v>261.6163319713356</v>
      </c>
      <c r="F28" s="6" t="n">
        <v>244.9940319713357</v>
      </c>
      <c r="G28" s="6" t="n">
        <v>216.8066680286644</v>
      </c>
      <c r="H28" s="7" t="n">
        <v>0.4531694087212872</v>
      </c>
      <c r="I28" s="7" t="n">
        <v>0.3742879477612717</v>
      </c>
      <c r="J28" s="7" t="n">
        <v>0.01905167242146399</v>
      </c>
      <c r="K28" s="7" t="n">
        <v>-0.01254892996095303</v>
      </c>
      <c r="L28" s="6" t="n">
        <v>232.5611680286644</v>
      </c>
    </row>
    <row r="29">
      <c r="A29" s="4" t="n">
        <v>1983</v>
      </c>
      <c r="B29" s="6" t="n">
        <v>642.9450000000001</v>
      </c>
      <c r="C29" s="6" t="n">
        <v>112.34</v>
      </c>
      <c r="D29" s="6" t="n">
        <v>530.605</v>
      </c>
      <c r="E29" s="6" t="n">
        <v>292.8204302442064</v>
      </c>
      <c r="F29" s="6" t="n">
        <v>276.2916302442063</v>
      </c>
      <c r="G29" s="6" t="n">
        <v>237.7845697557937</v>
      </c>
      <c r="H29" s="7" t="n">
        <v>0.4481385772011075</v>
      </c>
      <c r="I29" s="7" t="n">
        <v>0.3698365641785746</v>
      </c>
      <c r="J29" s="7" t="n">
        <v>0.01180724890535356</v>
      </c>
      <c r="K29" s="7" t="n">
        <v>0.0005747347457980556</v>
      </c>
      <c r="L29" s="6" t="n">
        <v>255.1325697557937</v>
      </c>
    </row>
    <row r="30">
      <c r="A30" s="4" t="n">
        <v>1984</v>
      </c>
      <c r="B30" s="6" t="n">
        <v>699.502</v>
      </c>
      <c r="C30" s="6" t="n">
        <v>123.367</v>
      </c>
      <c r="D30" s="6" t="n">
        <v>576.135</v>
      </c>
      <c r="E30" s="6" t="n">
        <v>324.0939909400273</v>
      </c>
      <c r="F30" s="6" t="n">
        <v>304.7498909400273</v>
      </c>
      <c r="G30" s="6" t="n">
        <v>252.0410090599727</v>
      </c>
      <c r="H30" s="7" t="n">
        <v>0.4374686645664171</v>
      </c>
      <c r="I30" s="7" t="n">
        <v>0.360314922702112</v>
      </c>
      <c r="J30" s="7" t="n">
        <v>0.0140741870281984</v>
      </c>
      <c r="K30" s="7" t="n">
        <v>-0.01007031543410553</v>
      </c>
      <c r="L30" s="6" t="n">
        <v>270.6852090599726</v>
      </c>
    </row>
    <row r="31">
      <c r="A31" s="4" t="n">
        <v>1985</v>
      </c>
      <c r="B31" s="6" t="n">
        <v>749.583</v>
      </c>
      <c r="C31" s="6" t="n">
        <v>131.037</v>
      </c>
      <c r="D31" s="6" t="n">
        <v>618.5459999999999</v>
      </c>
      <c r="E31" s="6" t="n">
        <v>351.7866465624186</v>
      </c>
      <c r="F31" s="6" t="n">
        <v>329.2655465624185</v>
      </c>
      <c r="G31" s="6" t="n">
        <v>266.7593534375814</v>
      </c>
      <c r="H31" s="7" t="n">
        <v>0.4312684156676809</v>
      </c>
      <c r="I31" s="7" t="n">
        <v>0.3558770055318509</v>
      </c>
      <c r="J31" s="7" t="n">
        <v>0.01760563035527496</v>
      </c>
      <c r="K31" s="7" t="n">
        <v>0.003183092925739484</v>
      </c>
      <c r="L31" s="6" t="n">
        <v>287.5207534375813</v>
      </c>
    </row>
    <row r="32">
      <c r="A32" s="4" t="n">
        <v>1986</v>
      </c>
      <c r="B32" s="6" t="n">
        <v>807.707</v>
      </c>
      <c r="C32" s="6" t="n">
        <v>139.793</v>
      </c>
      <c r="D32" s="6" t="n">
        <v>667.914</v>
      </c>
      <c r="E32" s="6" t="n">
        <v>373.0566378816683</v>
      </c>
      <c r="F32" s="6" t="n">
        <v>347.0115378816683</v>
      </c>
      <c r="G32" s="6" t="n">
        <v>294.8573621183317</v>
      </c>
      <c r="H32" s="7" t="n">
        <v>0.4414600713839382</v>
      </c>
      <c r="I32" s="7" t="n">
        <v>0.3650548554343737</v>
      </c>
      <c r="J32" s="7" t="n">
        <v>0.02605095189634876</v>
      </c>
      <c r="K32" s="7" t="n">
        <v>0.05029839889029608</v>
      </c>
      <c r="L32" s="6" t="n">
        <v>316.9373621183316</v>
      </c>
    </row>
    <row r="33">
      <c r="A33" s="4" t="n">
        <v>1987</v>
      </c>
      <c r="B33" s="6" t="n">
        <v>848.788</v>
      </c>
      <c r="C33" s="6" t="n">
        <v>144.671</v>
      </c>
      <c r="D33" s="6" t="n">
        <v>704.117</v>
      </c>
      <c r="E33" s="6" t="n">
        <v>387.2126609990182</v>
      </c>
      <c r="F33" s="6" t="n">
        <v>369.9689609990182</v>
      </c>
      <c r="G33" s="6" t="n">
        <v>316.9043390009818</v>
      </c>
      <c r="H33" s="7" t="n">
        <v>0.450073409676207</v>
      </c>
      <c r="I33" s="7" t="n">
        <v>0.3733610029842337</v>
      </c>
      <c r="J33" s="7" t="n">
        <v>0.02879102121252175</v>
      </c>
      <c r="K33" s="7" t="n">
        <v>0.04886378808806868</v>
      </c>
      <c r="L33" s="6" t="n">
        <v>338.4045390009818</v>
      </c>
    </row>
    <row r="34">
      <c r="A34" s="4" t="n">
        <v>1988</v>
      </c>
      <c r="B34" s="6" t="n">
        <v>917.933</v>
      </c>
      <c r="C34" s="6" t="n">
        <v>151.158</v>
      </c>
      <c r="D34" s="6" t="n">
        <v>766.775</v>
      </c>
      <c r="E34" s="6" t="n">
        <v>413.8843060971172</v>
      </c>
      <c r="F34" s="6" t="n">
        <v>390.1582060971172</v>
      </c>
      <c r="G34" s="6" t="n">
        <v>352.8906939028827</v>
      </c>
      <c r="H34" s="7" t="n">
        <v>0.4602271773373972</v>
      </c>
      <c r="I34" s="7" t="n">
        <v>0.3844405788907063</v>
      </c>
      <c r="J34" s="7" t="n">
        <v>0.05542933788193283</v>
      </c>
      <c r="K34" s="7" t="n">
        <v>0.07924008530504056</v>
      </c>
      <c r="L34" s="6" t="n">
        <v>376.5496939028828</v>
      </c>
    </row>
    <row r="35">
      <c r="A35" s="4" t="n">
        <v>1989</v>
      </c>
      <c r="B35" s="6" t="n">
        <v>988.884</v>
      </c>
      <c r="C35" s="6" t="n">
        <v>159.318</v>
      </c>
      <c r="D35" s="6" t="n">
        <v>829.566</v>
      </c>
      <c r="E35" s="6" t="n">
        <v>435.9804984952165</v>
      </c>
      <c r="F35" s="6" t="n">
        <v>418.2113984952165</v>
      </c>
      <c r="G35" s="6" t="n">
        <v>393.5855015047836</v>
      </c>
      <c r="H35" s="7" t="n">
        <v>0.4744474839913684</v>
      </c>
      <c r="I35" s="7" t="n">
        <v>0.3980097781992464</v>
      </c>
      <c r="J35" s="7" t="n">
        <v>0.04851185830145388</v>
      </c>
      <c r="K35" s="7" t="n">
        <v>0.08090925004531679</v>
      </c>
      <c r="L35" s="6" t="n">
        <v>419.2747015047836</v>
      </c>
    </row>
    <row r="36">
      <c r="A36" s="4" t="n">
        <v>1990</v>
      </c>
      <c r="B36" s="6" t="n">
        <v>1043.975</v>
      </c>
      <c r="C36" s="6" t="n">
        <v>167.469</v>
      </c>
      <c r="D36" s="6" t="n">
        <v>876.5059999999999</v>
      </c>
      <c r="E36" s="6" t="n">
        <v>467.5842380274258</v>
      </c>
      <c r="F36" s="6" t="n">
        <v>441.9397380274257</v>
      </c>
      <c r="G36" s="6" t="n">
        <v>408.921761972574</v>
      </c>
      <c r="H36" s="7" t="n">
        <v>0.4665361811243438</v>
      </c>
      <c r="I36" s="7" t="n">
        <v>0.39169689118281</v>
      </c>
      <c r="J36" s="7" t="n">
        <v>0.02914480376389439</v>
      </c>
      <c r="K36" s="7" t="n">
        <v>0.01198405044277662</v>
      </c>
      <c r="L36" s="6" t="n">
        <v>435.1335619725741</v>
      </c>
    </row>
    <row r="37">
      <c r="A37" s="4" t="n">
        <v>1991</v>
      </c>
      <c r="B37" s="6" t="n">
        <v>1082.833</v>
      </c>
      <c r="C37" s="6" t="n">
        <v>177.14</v>
      </c>
      <c r="D37" s="6" t="n">
        <v>905.6930000000001</v>
      </c>
      <c r="E37" s="6" t="n">
        <v>496.1589251431208</v>
      </c>
      <c r="F37" s="6" t="n">
        <v>464.9050251431209</v>
      </c>
      <c r="G37" s="6" t="n">
        <v>409.5340748568793</v>
      </c>
      <c r="H37" s="7" t="n">
        <v>0.4521775865076568</v>
      </c>
      <c r="I37" s="7" t="n">
        <v>0.3782061267590471</v>
      </c>
      <c r="J37" s="7" t="n">
        <v>0.008545226825535268</v>
      </c>
      <c r="K37" s="7" t="n">
        <v>-0.02249479247089503</v>
      </c>
      <c r="L37" s="6" t="n">
        <v>438.2111748568794</v>
      </c>
    </row>
    <row r="38">
      <c r="A38" s="4" t="n">
        <v>1992</v>
      </c>
      <c r="B38" s="6" t="n">
        <v>1121.458</v>
      </c>
      <c r="C38" s="6" t="n">
        <v>186.865</v>
      </c>
      <c r="D38" s="6" t="n">
        <v>934.5930000000001</v>
      </c>
      <c r="E38" s="6" t="n">
        <v>526.3011115469661</v>
      </c>
      <c r="F38" s="6" t="n">
        <v>474.2621115469662</v>
      </c>
      <c r="G38" s="6" t="n">
        <v>408.2918884530339</v>
      </c>
      <c r="H38" s="7" t="n">
        <v>0.4368659817193515</v>
      </c>
      <c r="I38" s="7" t="n">
        <v>0.3640723847464942</v>
      </c>
      <c r="J38" s="7" t="n">
        <v>0.01146984787095517</v>
      </c>
      <c r="K38" s="7" t="n">
        <v>-0.02278047109222292</v>
      </c>
      <c r="L38" s="6" t="n">
        <v>437.5827884530339</v>
      </c>
    </row>
    <row r="39">
      <c r="A39" s="4" t="n">
        <v>1993</v>
      </c>
      <c r="B39" s="6" t="n">
        <v>1134.839</v>
      </c>
      <c r="C39" s="6" t="n">
        <v>195.664</v>
      </c>
      <c r="D39" s="6" t="n">
        <v>939.175</v>
      </c>
      <c r="E39" s="6" t="n">
        <v>557.4541598440993</v>
      </c>
      <c r="F39" s="6" t="n">
        <v>484.8310598440992</v>
      </c>
      <c r="G39" s="6" t="n">
        <v>381.7208401559006</v>
      </c>
      <c r="H39" s="7" t="n">
        <v>0.4064427185092243</v>
      </c>
      <c r="I39" s="7" t="n">
        <v>0.3363656343815296</v>
      </c>
      <c r="J39" s="7" t="n">
        <v>-0.0105068991703382</v>
      </c>
      <c r="K39" s="7" t="n">
        <v>-0.07941500900454557</v>
      </c>
      <c r="L39" s="6" t="n">
        <v>409.7718401559008</v>
      </c>
    </row>
    <row r="40">
      <c r="A40" s="4" t="n">
        <v>1994</v>
      </c>
      <c r="B40" s="6" t="n">
        <v>1172.96</v>
      </c>
      <c r="C40" s="6" t="n">
        <v>203.109</v>
      </c>
      <c r="D40" s="6" t="n">
        <v>969.851</v>
      </c>
      <c r="E40" s="6" t="n">
        <v>567.7578347770791</v>
      </c>
      <c r="F40" s="6" t="n">
        <v>503.7729347770792</v>
      </c>
      <c r="G40" s="6" t="n">
        <v>402.0931652229209</v>
      </c>
      <c r="H40" s="7" t="n">
        <v>0.4145927211735833</v>
      </c>
      <c r="I40" s="7" t="n">
        <v>0.3428021119415162</v>
      </c>
      <c r="J40" s="7" t="n">
        <v>0.02290437847316196</v>
      </c>
      <c r="K40" s="7" t="n">
        <v>0.04341569047431815</v>
      </c>
      <c r="L40" s="6" t="n">
        <v>433.3557652229208</v>
      </c>
    </row>
    <row r="41">
      <c r="A41" s="4" t="n">
        <v>1995</v>
      </c>
      <c r="B41" s="6" t="n">
        <v>1213.802</v>
      </c>
      <c r="C41" s="6" t="n">
        <v>212.886</v>
      </c>
      <c r="D41" s="6" t="n">
        <v>1000.916</v>
      </c>
      <c r="E41" s="6" t="n">
        <v>588.076960334659</v>
      </c>
      <c r="F41" s="6" t="n">
        <v>526.038260334659</v>
      </c>
      <c r="G41" s="6" t="n">
        <v>412.8390396653409</v>
      </c>
      <c r="H41" s="7" t="n">
        <v>0.4124612251830733</v>
      </c>
      <c r="I41" s="7" t="n">
        <v>0.3401205795223117</v>
      </c>
      <c r="J41" s="7" t="n">
        <v>0.02030372112104062</v>
      </c>
      <c r="K41" s="7" t="n">
        <v>0.01505815558261103</v>
      </c>
      <c r="L41" s="6" t="n">
        <v>445.9490396653409</v>
      </c>
    </row>
    <row r="42">
      <c r="A42" s="4" t="n">
        <v>1996</v>
      </c>
      <c r="B42" s="6" t="n">
        <v>1246.974</v>
      </c>
      <c r="C42" s="6" t="n">
        <v>220.669</v>
      </c>
      <c r="D42" s="6" t="n">
        <v>1026.305</v>
      </c>
      <c r="E42" s="6" t="n">
        <v>601.7128770604238</v>
      </c>
      <c r="F42" s="6" t="n">
        <v>553.1288770604237</v>
      </c>
      <c r="G42" s="6" t="n">
        <v>424.592122939576</v>
      </c>
      <c r="H42" s="7" t="n">
        <v>0.4137094946819669</v>
      </c>
      <c r="I42" s="7" t="n">
        <v>0.3404979758516024</v>
      </c>
      <c r="J42" s="7" t="n">
        <v>0.01203113559148594</v>
      </c>
      <c r="K42" s="7" t="n">
        <v>0.01509393888391397</v>
      </c>
      <c r="L42" s="6" t="n">
        <v>458.118022939576</v>
      </c>
    </row>
    <row r="43">
      <c r="A43" s="4" t="n">
        <v>1997</v>
      </c>
      <c r="B43" s="6" t="n">
        <v>1289.669</v>
      </c>
      <c r="C43" s="6" t="n">
        <v>226.49</v>
      </c>
      <c r="D43" s="6" t="n">
        <v>1063.179</v>
      </c>
      <c r="E43" s="6" t="n">
        <v>618.0952332272138</v>
      </c>
      <c r="F43" s="6" t="n">
        <v>570.2299332272138</v>
      </c>
      <c r="G43" s="6" t="n">
        <v>445.0837667727862</v>
      </c>
      <c r="H43" s="7" t="n">
        <v>0.4186348364412636</v>
      </c>
      <c r="I43" s="7" t="n">
        <v>0.3451147284867561</v>
      </c>
      <c r="J43" s="7" t="n">
        <v>0.02693667144270884</v>
      </c>
      <c r="K43" s="7" t="n">
        <v>0.03916267576948451</v>
      </c>
      <c r="L43" s="6" t="n">
        <v>478.2607667727863</v>
      </c>
    </row>
    <row r="44">
      <c r="A44" s="4" t="n">
        <v>1998</v>
      </c>
      <c r="B44" s="6" t="n">
        <v>1346.318</v>
      </c>
      <c r="C44" s="6" t="n">
        <v>231.962</v>
      </c>
      <c r="D44" s="6" t="n">
        <v>1114.356</v>
      </c>
      <c r="E44" s="6" t="n">
        <v>625.6083622521546</v>
      </c>
      <c r="F44" s="6" t="n">
        <v>593.4136622521546</v>
      </c>
      <c r="G44" s="6" t="n">
        <v>488.7476377478454</v>
      </c>
      <c r="H44" s="7" t="n">
        <v>0.438592009867444</v>
      </c>
      <c r="I44" s="7" t="n">
        <v>0.3630254054003923</v>
      </c>
      <c r="J44" s="7" t="n">
        <v>0.03871153614785716</v>
      </c>
      <c r="K44" s="7" t="n">
        <v>0.08822902600344751</v>
      </c>
      <c r="L44" s="6" t="n">
        <v>525.4068377478454</v>
      </c>
    </row>
    <row r="45">
      <c r="A45" s="4" t="n">
        <v>1999</v>
      </c>
      <c r="B45" s="6" t="n">
        <v>1395.148</v>
      </c>
      <c r="C45" s="6" t="n">
        <v>239.872</v>
      </c>
      <c r="D45" s="6" t="n">
        <v>1155.276</v>
      </c>
      <c r="E45" s="6" t="n">
        <v>642.5476676069906</v>
      </c>
      <c r="F45" s="6" t="n">
        <v>621.0033676069905</v>
      </c>
      <c r="G45" s="6" t="n">
        <v>512.7283323930093</v>
      </c>
      <c r="H45" s="7" t="n">
        <v>0.4438145797134272</v>
      </c>
      <c r="I45" s="7" t="n">
        <v>0.3675082015621349</v>
      </c>
      <c r="J45" s="7" t="n">
        <v>0.03443020196640423</v>
      </c>
      <c r="K45" s="7" t="n">
        <v>0.04674776329680075</v>
      </c>
      <c r="L45" s="6" t="n">
        <v>549.6939323930093</v>
      </c>
    </row>
    <row r="46">
      <c r="A46" s="4" t="n">
        <v>2000</v>
      </c>
      <c r="B46" s="6" t="n">
        <v>1473.517</v>
      </c>
      <c r="C46" s="6" t="n">
        <v>247.531</v>
      </c>
      <c r="D46" s="6" t="n">
        <v>1225.986</v>
      </c>
      <c r="E46" s="6" t="n">
        <v>664.8797393355787</v>
      </c>
      <c r="F46" s="6" t="n">
        <v>645.5375393355787</v>
      </c>
      <c r="G46" s="6" t="n">
        <v>561.1062606644214</v>
      </c>
      <c r="H46" s="7" t="n">
        <v>0.4576775433523885</v>
      </c>
      <c r="I46" s="7" t="n">
        <v>0.3807938833854115</v>
      </c>
      <c r="J46" s="7" t="n">
        <v>0.04638194210359337</v>
      </c>
      <c r="K46" s="7" t="n">
        <v>0.07906666108063631</v>
      </c>
      <c r="L46" s="6" t="n">
        <v>597.3276606644213</v>
      </c>
    </row>
    <row r="47">
      <c r="A47" s="4" t="n">
        <v>2001</v>
      </c>
      <c r="B47" s="6" t="n">
        <v>1530.071</v>
      </c>
      <c r="C47" s="6" t="n">
        <v>255.593</v>
      </c>
      <c r="D47" s="6" t="n">
        <v>1274.478</v>
      </c>
      <c r="E47" s="6" t="n">
        <v>694.0772871552314</v>
      </c>
      <c r="F47" s="6" t="n">
        <v>672.3906871552314</v>
      </c>
      <c r="G47" s="6" t="n">
        <v>580.4007128447685</v>
      </c>
      <c r="H47" s="7" t="n">
        <v>0.4554026925884704</v>
      </c>
      <c r="I47" s="7" t="n">
        <v>0.3793292682789024</v>
      </c>
      <c r="J47" s="7" t="n">
        <v>0.02014408947689095</v>
      </c>
      <c r="K47" s="7" t="n">
        <v>0.01507354233084879</v>
      </c>
      <c r="L47" s="6" t="n">
        <v>618.4610128447686</v>
      </c>
    </row>
    <row r="48">
      <c r="A48" s="4" t="n">
        <v>2002</v>
      </c>
      <c r="B48" s="6" t="n">
        <v>1578.33</v>
      </c>
      <c r="C48" s="6" t="n">
        <v>266.213</v>
      </c>
      <c r="D48" s="6" t="n">
        <v>1312.117</v>
      </c>
      <c r="E48" s="6" t="n">
        <v>732.304489372927</v>
      </c>
      <c r="F48" s="6" t="n">
        <v>682.183589372927</v>
      </c>
      <c r="G48" s="6" t="n">
        <v>579.8125106270729</v>
      </c>
      <c r="H48" s="7" t="n">
        <v>0.441890860820394</v>
      </c>
      <c r="I48" s="7" t="n">
        <v>0.3673582271306209</v>
      </c>
      <c r="J48" s="7" t="n">
        <v>0.008712712538320844</v>
      </c>
      <c r="K48" s="7" t="n">
        <v>-0.0212158686843078</v>
      </c>
      <c r="L48" s="6" t="n">
        <v>622.133010627073</v>
      </c>
    </row>
    <row r="49">
      <c r="A49" s="4" t="n">
        <v>2003</v>
      </c>
      <c r="B49" s="6" t="n">
        <v>1622.313</v>
      </c>
      <c r="C49" s="6" t="n">
        <v>276.421</v>
      </c>
      <c r="D49" s="6" t="n">
        <v>1345.892</v>
      </c>
      <c r="E49" s="6" t="n">
        <v>757.8767945315407</v>
      </c>
      <c r="F49" s="6" t="n">
        <v>691.5597945315407</v>
      </c>
      <c r="G49" s="6" t="n">
        <v>588.0152054684594</v>
      </c>
      <c r="H49" s="7" t="n">
        <v>0.4368962780583133</v>
      </c>
      <c r="I49" s="7" t="n">
        <v>0.3624548440827752</v>
      </c>
      <c r="J49" s="7" t="n">
        <v>0.007590101422817908</v>
      </c>
      <c r="K49" s="7" t="n">
        <v>-0.003798439499858253</v>
      </c>
      <c r="L49" s="6" t="n">
        <v>630.7051054684596</v>
      </c>
    </row>
    <row r="50">
      <c r="A50" s="4" t="n">
        <v>2004</v>
      </c>
      <c r="B50" s="6" t="n">
        <v>1696.108</v>
      </c>
      <c r="C50" s="6" t="n">
        <v>284.335</v>
      </c>
      <c r="D50" s="6" t="n">
        <v>1411.773</v>
      </c>
      <c r="E50" s="6" t="n">
        <v>789.155442913019</v>
      </c>
      <c r="F50" s="6" t="n">
        <v>728.855642913019</v>
      </c>
      <c r="G50" s="6" t="n">
        <v>622.6175570869809</v>
      </c>
      <c r="H50" s="7" t="n">
        <v>0.4410181786214788</v>
      </c>
      <c r="I50" s="7" t="n">
        <v>0.3670860328982476</v>
      </c>
      <c r="J50" s="7" t="n">
        <v>0.03208948134111078</v>
      </c>
      <c r="K50" s="7" t="n">
        <v>0.04182673576058971</v>
      </c>
      <c r="L50" s="6" t="n">
        <v>667.9339570869807</v>
      </c>
    </row>
    <row r="51">
      <c r="A51" s="4" t="n">
        <v>2005</v>
      </c>
      <c r="B51" s="6" t="n">
        <v>1762.048</v>
      </c>
      <c r="C51" s="6" t="n">
        <v>295.906</v>
      </c>
      <c r="D51" s="6" t="n">
        <v>1466.142</v>
      </c>
      <c r="E51" s="6" t="n">
        <v>823.0648551312394</v>
      </c>
      <c r="F51" s="6" t="n">
        <v>761.2634551312393</v>
      </c>
      <c r="G51" s="6" t="n">
        <v>643.0771448687607</v>
      </c>
      <c r="H51" s="7" t="n">
        <v>0.4386185955171877</v>
      </c>
      <c r="I51" s="7" t="n">
        <v>0.3649600606049102</v>
      </c>
      <c r="J51" s="7" t="n">
        <v>0.01852824469349401</v>
      </c>
      <c r="K51" s="7" t="n">
        <v>0.01298642513664672</v>
      </c>
      <c r="L51" s="6" t="n">
        <v>692.2750448687607</v>
      </c>
    </row>
    <row r="52">
      <c r="A52" s="4" t="n">
        <v>2006</v>
      </c>
      <c r="B52" s="6" t="n">
        <v>1846.021</v>
      </c>
      <c r="C52" s="6" t="n">
        <v>304.617</v>
      </c>
      <c r="D52" s="6" t="n">
        <v>1541.404</v>
      </c>
      <c r="E52" s="6" t="n">
        <v>855.8671015867881</v>
      </c>
      <c r="F52" s="6" t="n">
        <v>806.8045015867879</v>
      </c>
      <c r="G52" s="6" t="n">
        <v>685.5368984132119</v>
      </c>
      <c r="H52" s="7" t="n">
        <v>0.4447483582585824</v>
      </c>
      <c r="I52" s="7" t="n">
        <v>0.3713592090302396</v>
      </c>
      <c r="J52" s="7" t="n">
        <v>0.03074330455276231</v>
      </c>
      <c r="K52" s="7" t="n">
        <v>0.04514810172452721</v>
      </c>
      <c r="L52" s="6" t="n">
        <v>739.982398413212</v>
      </c>
    </row>
    <row r="53">
      <c r="A53" s="4" t="n">
        <v>2007</v>
      </c>
      <c r="B53" s="6" t="n">
        <v>1937.876</v>
      </c>
      <c r="C53" s="6" t="n">
        <v>315.593</v>
      </c>
      <c r="D53" s="6" t="n">
        <v>1622.283</v>
      </c>
      <c r="E53" s="6" t="n">
        <v>898.3924966787001</v>
      </c>
      <c r="F53" s="6" t="n">
        <v>840.4567966787</v>
      </c>
      <c r="G53" s="6" t="n">
        <v>723.8905033212998</v>
      </c>
      <c r="H53" s="7" t="n">
        <v>0.4462171540485229</v>
      </c>
      <c r="I53" s="7" t="n">
        <v>0.3735484124481132</v>
      </c>
      <c r="J53" s="7" t="n">
        <v>0.0279486696490483</v>
      </c>
      <c r="K53" s="7" t="n">
        <v>0.03134350326724822</v>
      </c>
      <c r="L53" s="6" t="n">
        <v>787.1509033212998</v>
      </c>
    </row>
    <row r="54">
      <c r="A54" s="4" t="n">
        <v>2008</v>
      </c>
      <c r="B54" s="6" t="n">
        <v>1990</v>
      </c>
      <c r="C54" s="6" t="n">
        <v>326.231</v>
      </c>
      <c r="D54" s="6" t="n">
        <v>1663.769</v>
      </c>
      <c r="E54" s="6" t="n">
        <v>934.4760415875407</v>
      </c>
      <c r="F54" s="6" t="n">
        <v>864.7859415875407</v>
      </c>
      <c r="G54" s="6" t="n">
        <v>729.2929584124593</v>
      </c>
      <c r="H54" s="7" t="n">
        <v>0.4383378692669831</v>
      </c>
      <c r="I54" s="7" t="n">
        <v>0.3664788735741001</v>
      </c>
      <c r="J54" s="7" t="n">
        <v>0.002514605882242726</v>
      </c>
      <c r="K54" s="7" t="n">
        <v>-0.01518775720651544</v>
      </c>
      <c r="L54" s="6" t="n">
        <v>797.2053584124592</v>
      </c>
    </row>
    <row r="55">
      <c r="A55" s="4" t="n">
        <v>2009</v>
      </c>
      <c r="B55" s="6" t="n">
        <v>1935.84</v>
      </c>
      <c r="C55" s="6" t="n">
        <v>337.085</v>
      </c>
      <c r="D55" s="6" t="n">
        <v>1598.755</v>
      </c>
      <c r="E55" s="6" t="n">
        <v>970.7598397464479</v>
      </c>
      <c r="F55" s="6" t="n">
        <v>827.9259397464481</v>
      </c>
      <c r="G55" s="6" t="n">
        <v>627.9951602535519</v>
      </c>
      <c r="H55" s="7" t="n">
        <v>0.3928026247008153</v>
      </c>
      <c r="I55" s="7" t="n">
        <v>0.3244044757074717</v>
      </c>
      <c r="J55" s="7" t="n">
        <v>-0.04010350889186587</v>
      </c>
      <c r="K55" s="7" t="n">
        <v>-0.139819103973597</v>
      </c>
      <c r="L55" s="6" t="n">
        <v>698.3858602535521</v>
      </c>
    </row>
    <row r="56">
      <c r="A56" s="4" t="n">
        <v>2010</v>
      </c>
      <c r="B56" s="6" t="n">
        <v>1996.075</v>
      </c>
      <c r="C56" s="6" t="n">
        <v>344.657</v>
      </c>
      <c r="D56" s="6" t="n">
        <v>1651.418</v>
      </c>
      <c r="E56" s="6" t="n">
        <v>996.4405339013657</v>
      </c>
      <c r="F56" s="6" t="n">
        <v>853.6800339013656</v>
      </c>
      <c r="G56" s="6" t="n">
        <v>654.9774660986344</v>
      </c>
      <c r="H56" s="7" t="n">
        <v>0.3966151913680451</v>
      </c>
      <c r="I56" s="7" t="n">
        <v>0.3281326934602329</v>
      </c>
      <c r="J56" s="7" t="n">
        <v>0.0218105006908369</v>
      </c>
      <c r="K56" s="7" t="n">
        <v>0.03172825686195879</v>
      </c>
      <c r="L56" s="6" t="n">
        <v>727.0691660986345</v>
      </c>
    </row>
    <row r="57">
      <c r="A57" s="4" t="n">
        <v>2011</v>
      </c>
      <c r="B57" s="6" t="n">
        <v>2062.141</v>
      </c>
      <c r="C57" s="6" t="n">
        <v>354.348</v>
      </c>
      <c r="D57" s="6" t="n">
        <v>1707.793</v>
      </c>
      <c r="E57" s="6" t="n">
        <v>1015.763376279769</v>
      </c>
      <c r="F57" s="6" t="n">
        <v>906.3778762797692</v>
      </c>
      <c r="G57" s="6" t="n">
        <v>692.0296237202309</v>
      </c>
      <c r="H57" s="7" t="n">
        <v>0.405218679149189</v>
      </c>
      <c r="I57" s="7" t="n">
        <v>0.3355879271690107</v>
      </c>
      <c r="J57" s="7" t="n">
        <v>0.02540595321944217</v>
      </c>
      <c r="K57" s="7" t="n">
        <v>0.04764934626448825</v>
      </c>
      <c r="L57" s="6" t="n">
        <v>764.886023720231</v>
      </c>
    </row>
    <row r="58">
      <c r="A58" s="4" t="n">
        <v>2012</v>
      </c>
      <c r="B58" s="6" t="n">
        <v>2088.287</v>
      </c>
      <c r="C58" s="6" t="n">
        <v>360.736</v>
      </c>
      <c r="D58" s="6" t="n">
        <v>1727.551</v>
      </c>
      <c r="E58" s="6" t="n">
        <v>1044.930603728458</v>
      </c>
      <c r="F58" s="6" t="n">
        <v>936.9434037284578</v>
      </c>
      <c r="G58" s="6" t="n">
        <v>682.6203962715422</v>
      </c>
      <c r="H58" s="7" t="n">
        <v>0.39513762330116</v>
      </c>
      <c r="I58" s="7" t="n">
        <v>0.3268805467215676</v>
      </c>
      <c r="J58" s="7" t="n">
        <v>0.000745196984776042</v>
      </c>
      <c r="K58" s="7" t="n">
        <v>-0.0241514051206172</v>
      </c>
      <c r="L58" s="6" t="n">
        <v>759.8304962715422</v>
      </c>
    </row>
    <row r="59">
      <c r="A59" s="4" t="n">
        <v>2013</v>
      </c>
      <c r="B59" s="6" t="n">
        <v>2120.352</v>
      </c>
      <c r="C59" s="6" t="n">
        <v>368.755</v>
      </c>
      <c r="D59" s="6" t="n">
        <v>1751.597</v>
      </c>
      <c r="E59" s="6" t="n">
        <v>1071.821678304328</v>
      </c>
      <c r="F59" s="6" t="n">
        <v>967.109878304328</v>
      </c>
      <c r="G59" s="6" t="n">
        <v>679.7753216956717</v>
      </c>
      <c r="H59" s="7" t="n">
        <v>0.388088882143365</v>
      </c>
      <c r="I59" s="7" t="n">
        <v>0.3205955056970125</v>
      </c>
      <c r="J59" s="7" t="n">
        <v>0.006392009100289364</v>
      </c>
      <c r="K59" s="7" t="n">
        <v>-0.01156071510794032</v>
      </c>
      <c r="L59" s="6" t="n">
        <v>768.5009216956717</v>
      </c>
    </row>
    <row r="60">
      <c r="A60" s="4" t="n">
        <v>2014</v>
      </c>
      <c r="B60" s="6" t="n">
        <v>2153.733</v>
      </c>
      <c r="C60" s="6" t="n">
        <v>374.398</v>
      </c>
      <c r="D60" s="6" t="n">
        <v>1779.335</v>
      </c>
      <c r="E60" s="6" t="n">
        <v>1084.01686465868</v>
      </c>
      <c r="F60" s="6" t="n">
        <v>985.5128646586803</v>
      </c>
      <c r="G60" s="6" t="n">
        <v>695.3181353413197</v>
      </c>
      <c r="H60" s="7" t="n">
        <v>0.3907741573910026</v>
      </c>
      <c r="I60" s="7" t="n">
        <v>0.3228432379228621</v>
      </c>
      <c r="J60" s="7" t="n">
        <v>0.01006690095122553</v>
      </c>
      <c r="K60" s="7" t="n">
        <v>0.01705578358193272</v>
      </c>
      <c r="L60" s="6" t="n">
        <v>790.3699353413197</v>
      </c>
    </row>
    <row r="61">
      <c r="A61" s="4" t="n">
        <v>2015</v>
      </c>
      <c r="B61" s="6" t="n">
        <v>2201.402</v>
      </c>
      <c r="C61" s="6" t="n">
        <v>376.571</v>
      </c>
      <c r="D61" s="6" t="n">
        <v>1824.831</v>
      </c>
      <c r="E61" s="6" t="n">
        <v>1092.355627585529</v>
      </c>
      <c r="F61" s="6" t="n">
        <v>1006.674627585529</v>
      </c>
      <c r="G61" s="6" t="n">
        <v>732.4753724144707</v>
      </c>
      <c r="H61" s="7" t="n">
        <v>0.4013935385876669</v>
      </c>
      <c r="I61" s="7" t="n">
        <v>0.3327313105077904</v>
      </c>
      <c r="J61" s="7" t="n">
        <v>0.01407311269166911</v>
      </c>
      <c r="K61" s="7" t="n">
        <v>0.04163079208597331</v>
      </c>
      <c r="L61" s="6" t="n">
        <v>827.3016724144708</v>
      </c>
    </row>
    <row r="62">
      <c r="A62" s="4" t="n">
        <v>2016</v>
      </c>
      <c r="B62" s="6" t="n">
        <v>2231.819</v>
      </c>
      <c r="C62" s="6" t="n">
        <v>379.832</v>
      </c>
      <c r="D62" s="6" t="n">
        <v>1851.987</v>
      </c>
      <c r="E62" s="6" t="n">
        <v>1103.380411535215</v>
      </c>
      <c r="F62" s="6" t="n">
        <v>1019.355211535214</v>
      </c>
      <c r="G62" s="6" t="n">
        <v>748.6065884647855</v>
      </c>
      <c r="H62" s="7" t="n">
        <v>0.4042180579371159</v>
      </c>
      <c r="I62" s="7" t="n">
        <v>0.3354244176901378</v>
      </c>
      <c r="J62" s="7" t="n">
        <v>0.009652914376178101</v>
      </c>
      <c r="K62" s="7" t="n">
        <v>0.01675762314383156</v>
      </c>
      <c r="L62" s="6" t="n">
        <v>842.4319884647856</v>
      </c>
    </row>
    <row r="63">
      <c r="A63" s="4" t="n">
        <v>2017</v>
      </c>
      <c r="B63" s="6" t="n">
        <v>2291.681</v>
      </c>
      <c r="C63" s="6" t="n">
        <v>389.746</v>
      </c>
      <c r="D63" s="6" t="n">
        <v>1901.935</v>
      </c>
      <c r="E63" s="6" t="n">
        <v>1140.172961146666</v>
      </c>
      <c r="F63" s="6" t="n">
        <v>1063.115261146665</v>
      </c>
      <c r="G63" s="6" t="n">
        <v>761.7620388533344</v>
      </c>
      <c r="H63" s="7" t="n">
        <v>0.400519491388157</v>
      </c>
      <c r="I63" s="7" t="n">
        <v>0.3324031742870558</v>
      </c>
      <c r="J63" s="7" t="n">
        <v>0.02098491254704959</v>
      </c>
      <c r="K63" s="7" t="n">
        <v>0.01164297304090844</v>
      </c>
      <c r="L63" s="6" t="n">
        <v>864.4175388533342</v>
      </c>
    </row>
    <row r="64">
      <c r="A64" s="4" t="n">
        <v>2018</v>
      </c>
      <c r="B64" s="6" t="n">
        <v>2355.363</v>
      </c>
      <c r="C64" s="6" t="n">
        <v>394.392</v>
      </c>
      <c r="D64" s="6" t="n">
        <v>1960.971</v>
      </c>
      <c r="E64" s="6" t="n">
        <v>1145.457888036954</v>
      </c>
      <c r="F64" s="6" t="n">
        <v>1090.841688036954</v>
      </c>
      <c r="G64" s="6" t="n">
        <v>815.5131119630457</v>
      </c>
      <c r="H64" s="7" t="n">
        <v>0.4158720919192818</v>
      </c>
      <c r="I64" s="7" t="n">
        <v>0.3462366998051026</v>
      </c>
      <c r="J64" s="7" t="n">
        <v>0.01967077080905066</v>
      </c>
      <c r="K64" s="7" t="n">
        <v>0.05875650409818056</v>
      </c>
      <c r="L64" s="6" t="n">
        <v>917.6540119630461</v>
      </c>
    </row>
    <row r="65">
      <c r="A65" s="4" t="n">
        <v>2019</v>
      </c>
      <c r="B65" s="6" t="n">
        <v>2432.207</v>
      </c>
      <c r="C65" s="6" t="n">
        <v>401.046</v>
      </c>
      <c r="D65" s="6" t="n">
        <v>2031.161</v>
      </c>
      <c r="E65" s="6" t="n">
        <v>1162.555799067676</v>
      </c>
      <c r="F65" s="6" t="n">
        <v>1104.330299067676</v>
      </c>
      <c r="G65" s="6" t="n">
        <v>868.6052009323237</v>
      </c>
      <c r="H65" s="7" t="n">
        <v>0.4276397591979778</v>
      </c>
      <c r="I65" s="7" t="n">
        <v>0.3571263469483986</v>
      </c>
      <c r="J65" s="7" t="n">
        <v>0.02340979308268976</v>
      </c>
      <c r="K65" s="7" t="n">
        <v>0.05236856711144533</v>
      </c>
      <c r="L65" s="6" t="n">
        <v>953.7720009323239</v>
      </c>
    </row>
    <row r="66">
      <c r="A66" s="4" t="n">
        <v>2020</v>
      </c>
      <c r="B66" s="6" t="n">
        <v>2318.276</v>
      </c>
      <c r="C66" s="6" t="n">
        <v>408.763</v>
      </c>
      <c r="D66" s="6" t="n">
        <v>1909.513</v>
      </c>
      <c r="E66" s="6" t="n">
        <v>1244.124801461804</v>
      </c>
      <c r="F66" s="6" t="n">
        <v>1037.040401461804</v>
      </c>
      <c r="G66" s="6" t="n">
        <v>665.3881985381961</v>
      </c>
      <c r="H66" s="7" t="n">
        <v>0.34845963265932</v>
      </c>
      <c r="I66" s="7" t="n">
        <v>0.2870185424592224</v>
      </c>
      <c r="J66" s="7" t="n">
        <v>-0.08707882632642117</v>
      </c>
      <c r="K66" s="7" t="n">
        <v>-0.2561117857193038</v>
      </c>
      <c r="L66" s="6" t="n">
        <v>751.4244985381961</v>
      </c>
    </row>
    <row r="67">
      <c r="A67" s="4" t="n">
        <v>2021</v>
      </c>
      <c r="B67" s="6" t="n">
        <v>2508.102</v>
      </c>
      <c r="C67" s="6" t="n">
        <v>422.556</v>
      </c>
      <c r="D67" s="6" t="n">
        <v>2085.546</v>
      </c>
      <c r="E67" s="6" t="n">
        <v>1299.611997375855</v>
      </c>
      <c r="F67" s="6" t="n">
        <v>1134.462697375855</v>
      </c>
      <c r="G67" s="6" t="n">
        <v>785.9340026241448</v>
      </c>
      <c r="H67" s="7" t="n">
        <v>0.3768480784524268</v>
      </c>
      <c r="I67" s="7" t="n">
        <v>0.3133580702157029</v>
      </c>
      <c r="J67" s="7" t="n">
        <v>0.07900197557259769</v>
      </c>
      <c r="K67" s="7" t="n">
        <v>0.1669065310025377</v>
      </c>
      <c r="L67" s="6" t="n">
        <v>872.8716026241448</v>
      </c>
    </row>
    <row r="68">
      <c r="A68" s="4" t="n">
        <v>2022</v>
      </c>
      <c r="B68" s="6" t="n">
        <v>2653.997</v>
      </c>
      <c r="C68" s="6" t="n">
        <v>445.763</v>
      </c>
      <c r="D68" s="6" t="n">
        <v>2208.234</v>
      </c>
      <c r="E68" s="6" t="n">
        <v>1349.839798578458</v>
      </c>
      <c r="F68" s="6" t="n">
        <v>1223.943998578458</v>
      </c>
      <c r="G68" s="6" t="n">
        <v>858.3942014215422</v>
      </c>
      <c r="H68" s="7" t="n">
        <v>0.3887242934496717</v>
      </c>
      <c r="I68" s="7" t="n">
        <v>0.3234345032875102</v>
      </c>
      <c r="J68" s="7" t="n">
        <v>0.02780731651488755</v>
      </c>
      <c r="K68" s="7" t="n">
        <v>0.0601982490009958</v>
      </c>
      <c r="L68" s="6" t="n">
        <v>954.9804014215422</v>
      </c>
    </row>
    <row r="69">
      <c r="A69" s="4" t="n">
        <v>2023</v>
      </c>
      <c r="B69" s="6" t="n">
        <v>2833.826</v>
      </c>
      <c r="C69" s="6" t="n">
        <v>465.909</v>
      </c>
      <c r="D69" s="6" t="n">
        <v>2367.917</v>
      </c>
      <c r="E69" s="6" t="n">
        <v>1401.377475347268</v>
      </c>
      <c r="F69" s="6" t="n">
        <v>1249.457175347268</v>
      </c>
      <c r="G69" s="6" t="n">
        <v>966.5395246527316</v>
      </c>
      <c r="H69" s="7" t="n">
        <v>0.4081813360234889</v>
      </c>
      <c r="I69" s="7" t="n">
        <v>0.3410722904838658</v>
      </c>
      <c r="J69" s="7" t="n">
        <v>0.02067067343776263</v>
      </c>
      <c r="K69" s="7" t="n">
        <v>0.07175889478530828</v>
      </c>
      <c r="L69" s="6" t="n">
        <v>1065.277124652732</v>
      </c>
    </row>
    <row r="70">
      <c r="A70" s="4" t="n">
        <v>2024</v>
      </c>
      <c r="B70" s="6" t="n">
        <v>2935.236</v>
      </c>
      <c r="C70" s="6" t="n">
        <v>485.568</v>
      </c>
      <c r="D70" s="6" t="n">
        <v>2449.668</v>
      </c>
      <c r="E70" s="6" t="n">
        <v>1455.634618051742</v>
      </c>
      <c r="F70" s="6" t="n">
        <v>1286.516518051742</v>
      </c>
      <c r="G70" s="6" t="n">
        <v>994.0333819482578</v>
      </c>
      <c r="H70" s="7" t="n">
        <v>0.4057828987227077</v>
      </c>
      <c r="I70" s="7" t="n">
        <v>0.338655352396965</v>
      </c>
      <c r="J70" s="7" t="n">
        <v>0.01380470505119757</v>
      </c>
      <c r="K70" s="7" t="n">
        <v>0.007847678588424056</v>
      </c>
      <c r="L70" s="6" t="n">
        <v>1096.672681948258</v>
      </c>
    </row>
    <row r="71">
      <c r="A71" s="4" t="n">
        <v>2025</v>
      </c>
      <c r="B71" s="6" t="n">
        <v>2991.056</v>
      </c>
      <c r="C71" s="6" t="n">
        <v>496.054</v>
      </c>
      <c r="D71" s="6" t="n">
        <v>2495.002</v>
      </c>
      <c r="E71" s="6" t="n">
        <v>1489.006772822458</v>
      </c>
      <c r="F71" s="6" t="n">
        <v>1336.474772822457</v>
      </c>
      <c r="G71" s="6" t="n">
        <v>1005.995227177542</v>
      </c>
      <c r="H71" s="7" t="n">
        <v>0.4032041766609976</v>
      </c>
      <c r="I71" s="7" t="n">
        <v>0.3363344675517752</v>
      </c>
      <c r="J71" s="7" t="n">
        <v>0.007537833392285975</v>
      </c>
      <c r="K71" s="7" t="n">
        <v>0.00113500062837546</v>
      </c>
      <c r="L71" s="6" t="n">
        <v>1111.879527177543</v>
      </c>
    </row>
  </sheetData>
  <mergeCells count="1">
    <mergeCell ref="A2: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T3 — La glissade de la cotisation à la contribution, 1995-2025</t>
        </is>
      </c>
    </row>
    <row r="2" ht="75" customHeight="1">
      <c r="A2" s="2" t="inlineStr">
        <is>
          <t>En % du PIB. INSEE, tableau 3.217, édition du classeur de l'auteur ; PIB du tableau 1.101. « Prélèvements, notion du projet » : hors cotisations imputées et non recouvré, crédits d'impôt non retranchés. « Prélèvements obligatoires INSEE » : crédits d'impôt retranchés.</t>
        </is>
      </c>
    </row>
    <row r="4" ht="45" customHeight="1">
      <c r="A4" s="3" t="inlineStr">
        <is>
          <t>Année</t>
        </is>
      </c>
      <c r="B4" s="3" t="inlineStr">
        <is>
          <t>Cotisations sociales effectives</t>
        </is>
      </c>
      <c r="C4" s="3" t="inlineStr">
        <is>
          <t>CSG, CRDS et prélèvements sociaux</t>
        </is>
      </c>
      <c r="D4" s="3" t="inlineStr">
        <is>
          <t>Impôt sur le revenu, avant crédits</t>
        </is>
      </c>
      <c r="E4" s="3" t="inlineStr">
        <is>
          <t>Impôt sur les sociétés, avant crédits</t>
        </is>
      </c>
      <c r="F4" s="3" t="inlineStr">
        <is>
          <t>TVA</t>
        </is>
      </c>
      <c r="G4" s="3" t="inlineStr">
        <is>
          <t>Prélèvements, notion du projet</t>
        </is>
      </c>
      <c r="H4" s="3" t="inlineStr">
        <is>
          <t>Prélèvements obligatoires INSEE</t>
        </is>
      </c>
    </row>
    <row r="5">
      <c r="A5" s="4" t="n">
        <v>1995</v>
      </c>
      <c r="B5" s="7" t="n">
        <v>0.1825983150464409</v>
      </c>
      <c r="C5" s="7" t="n">
        <v>0.01230439560982763</v>
      </c>
      <c r="D5" s="7" t="n">
        <v>0.03511610625126669</v>
      </c>
      <c r="E5" s="7" t="n">
        <v>0.01800705551646809</v>
      </c>
      <c r="F5" s="7" t="n">
        <v>0.07380388234654417</v>
      </c>
      <c r="G5" s="7" t="n">
        <v>0.42368607071005</v>
      </c>
      <c r="H5" s="7" t="n">
        <v>0.4233688855348731</v>
      </c>
    </row>
    <row r="6">
      <c r="A6" s="4" t="n">
        <v>1996</v>
      </c>
      <c r="B6" s="7" t="n">
        <v>0.1831751905011652</v>
      </c>
      <c r="C6" s="7" t="n">
        <v>0.01506919951819364</v>
      </c>
      <c r="D6" s="7" t="n">
        <v>0.03473047553517555</v>
      </c>
      <c r="E6" s="7" t="n">
        <v>0.01978469478914556</v>
      </c>
      <c r="F6" s="7" t="n">
        <v>0.07726055234511706</v>
      </c>
      <c r="G6" s="7" t="n">
        <v>0.4350907075849217</v>
      </c>
      <c r="H6" s="7" t="n">
        <v>0.4347739407557816</v>
      </c>
    </row>
    <row r="7">
      <c r="A7" s="4" t="n">
        <v>1997</v>
      </c>
      <c r="B7" s="7" t="n">
        <v>0.1782241800027759</v>
      </c>
      <c r="C7" s="7" t="n">
        <v>0.02140580257414887</v>
      </c>
      <c r="D7" s="7" t="n">
        <v>0.03132819351321928</v>
      </c>
      <c r="E7" s="7" t="n">
        <v>0.02330520466879486</v>
      </c>
      <c r="F7" s="7" t="n">
        <v>0.07688693765609625</v>
      </c>
      <c r="G7" s="7" t="n">
        <v>0.4363556850633766</v>
      </c>
      <c r="H7" s="7" t="n">
        <v>0.4360408756045155</v>
      </c>
    </row>
    <row r="8">
      <c r="A8" s="4" t="n">
        <v>1998</v>
      </c>
      <c r="B8" s="7" t="n">
        <v>0.1580013785747498</v>
      </c>
      <c r="C8" s="7" t="n">
        <v>0.04215415674454327</v>
      </c>
      <c r="D8" s="7" t="n">
        <v>0.03167305198326101</v>
      </c>
      <c r="E8" s="7" t="n">
        <v>0.02328573189989289</v>
      </c>
      <c r="F8" s="7" t="n">
        <v>0.07579613434567464</v>
      </c>
      <c r="G8" s="7" t="n">
        <v>0.4357967434142602</v>
      </c>
      <c r="H8" s="7" t="n">
        <v>0.4354877525220638</v>
      </c>
    </row>
    <row r="9">
      <c r="A9" s="4" t="n">
        <v>1999</v>
      </c>
      <c r="B9" s="7" t="n">
        <v>0.1597796792885056</v>
      </c>
      <c r="C9" s="7" t="n">
        <v>0.04309743482411902</v>
      </c>
      <c r="D9" s="7" t="n">
        <v>0.03307677751751069</v>
      </c>
      <c r="E9" s="7" t="n">
        <v>0.02607321947205601</v>
      </c>
      <c r="F9" s="7" t="n">
        <v>0.07608160567911075</v>
      </c>
      <c r="G9" s="7" t="n">
        <v>0.4429696347627635</v>
      </c>
      <c r="H9" s="7" t="n">
        <v>0.4426635740437574</v>
      </c>
    </row>
    <row r="10">
      <c r="A10" s="4" t="n">
        <v>2000</v>
      </c>
      <c r="B10" s="7" t="n">
        <v>0.1572887180806193</v>
      </c>
      <c r="C10" s="7" t="n">
        <v>0.04380227713694514</v>
      </c>
      <c r="D10" s="7" t="n">
        <v>0.03360056246381956</v>
      </c>
      <c r="E10" s="7" t="n">
        <v>0.02697152459048657</v>
      </c>
      <c r="F10" s="7" t="n">
        <v>0.0728411684425765</v>
      </c>
      <c r="G10" s="7" t="n">
        <v>0.4345182987369673</v>
      </c>
      <c r="H10" s="7" t="n">
        <v>0.4342081564040319</v>
      </c>
    </row>
    <row r="11">
      <c r="A11" s="4" t="n">
        <v>2001</v>
      </c>
      <c r="B11" s="7" t="n">
        <v>0.1575751713482577</v>
      </c>
      <c r="C11" s="7" t="n">
        <v>0.04437650278973982</v>
      </c>
      <c r="D11" s="7" t="n">
        <v>0.03296056196085018</v>
      </c>
      <c r="E11" s="7" t="n">
        <v>0.02892937647991499</v>
      </c>
      <c r="F11" s="7" t="n">
        <v>0.07107604810495723</v>
      </c>
      <c r="G11" s="7" t="n">
        <v>0.4336429485951959</v>
      </c>
      <c r="H11" s="7" t="n">
        <v>0.4316966336856264</v>
      </c>
    </row>
    <row r="12">
      <c r="A12" s="4" t="n">
        <v>2002</v>
      </c>
      <c r="B12" s="7" t="n">
        <v>0.1585203981423403</v>
      </c>
      <c r="C12" s="7" t="n">
        <v>0.04390526695938112</v>
      </c>
      <c r="D12" s="7" t="n">
        <v>0.03023828983799332</v>
      </c>
      <c r="E12" s="7" t="n">
        <v>0.02460385344002838</v>
      </c>
      <c r="F12" s="7" t="n">
        <v>0.07006164743748139</v>
      </c>
      <c r="G12" s="7" t="n">
        <v>0.4264933188876851</v>
      </c>
      <c r="H12" s="7" t="n">
        <v>0.4248365044065563</v>
      </c>
    </row>
    <row r="13">
      <c r="A13" s="4" t="n">
        <v>2003</v>
      </c>
      <c r="B13" s="7" t="n">
        <v>0.16076133273912</v>
      </c>
      <c r="C13" s="7" t="n">
        <v>0.04385503907075884</v>
      </c>
      <c r="D13" s="7" t="n">
        <v>0.03069321394823317</v>
      </c>
      <c r="E13" s="7" t="n">
        <v>0.02181946393821661</v>
      </c>
      <c r="F13" s="7" t="n">
        <v>0.07011550791986502</v>
      </c>
      <c r="G13" s="7" t="n">
        <v>0.4246242247950919</v>
      </c>
      <c r="H13" s="7" t="n">
        <v>0.422753439071252</v>
      </c>
    </row>
    <row r="14">
      <c r="A14" s="4" t="n">
        <v>2004</v>
      </c>
      <c r="B14" s="7" t="n">
        <v>0.158586245687185</v>
      </c>
      <c r="C14" s="7" t="n">
        <v>0.04339794399884912</v>
      </c>
      <c r="D14" s="7" t="n">
        <v>0.02969150549375394</v>
      </c>
      <c r="E14" s="7" t="n">
        <v>0.02376912319262688</v>
      </c>
      <c r="F14" s="7" t="n">
        <v>0.07094064764743754</v>
      </c>
      <c r="G14" s="7" t="n">
        <v>0.4260449806262337</v>
      </c>
      <c r="H14" s="7" t="n">
        <v>0.4240905060290973</v>
      </c>
    </row>
    <row r="15">
      <c r="A15" s="4" t="n">
        <v>2005</v>
      </c>
      <c r="B15" s="7" t="n">
        <v>0.1586260987214877</v>
      </c>
      <c r="C15" s="7" t="n">
        <v>0.0447547399389801</v>
      </c>
      <c r="D15" s="7" t="n">
        <v>0.02978182206160104</v>
      </c>
      <c r="E15" s="7" t="n">
        <v>0.0243336163373529</v>
      </c>
      <c r="F15" s="7" t="n">
        <v>0.07191767761150661</v>
      </c>
      <c r="G15" s="7" t="n">
        <v>0.4293149221814616</v>
      </c>
      <c r="H15" s="7" t="n">
        <v>0.4270204330415517</v>
      </c>
    </row>
    <row r="16">
      <c r="A16" s="4" t="n">
        <v>2006</v>
      </c>
      <c r="B16" s="7" t="n">
        <v>0.1599589603801907</v>
      </c>
      <c r="C16" s="7" t="n">
        <v>0.04563290450108639</v>
      </c>
      <c r="D16" s="7" t="n">
        <v>0.03091622468000093</v>
      </c>
      <c r="E16" s="7" t="n">
        <v>0.02631281009262625</v>
      </c>
      <c r="F16" s="7" t="n">
        <v>0.07138651185441552</v>
      </c>
      <c r="G16" s="7" t="n">
        <v>0.4335628901296356</v>
      </c>
      <c r="H16" s="7" t="n">
        <v>0.4302915297279933</v>
      </c>
    </row>
    <row r="17">
      <c r="A17" s="4" t="n">
        <v>2007</v>
      </c>
      <c r="B17" s="7" t="n">
        <v>0.1578654671403124</v>
      </c>
      <c r="C17" s="7" t="n">
        <v>0.04566499610914217</v>
      </c>
      <c r="D17" s="7" t="n">
        <v>0.02900804798655848</v>
      </c>
      <c r="E17" s="7" t="n">
        <v>0.02685104722902807</v>
      </c>
      <c r="F17" s="7" t="n">
        <v>0.07052773242457207</v>
      </c>
      <c r="G17" s="7" t="n">
        <v>0.4282319405369591</v>
      </c>
      <c r="H17" s="7" t="n">
        <v>0.423317797423571</v>
      </c>
    </row>
    <row r="18">
      <c r="A18" s="4" t="n">
        <v>2008</v>
      </c>
      <c r="B18" s="7" t="n">
        <v>0.1577981407035176</v>
      </c>
      <c r="C18" s="7" t="n">
        <v>0.04679050251256281</v>
      </c>
      <c r="D18" s="7" t="n">
        <v>0.03045175879396985</v>
      </c>
      <c r="E18" s="7" t="n">
        <v>0.02546733668341709</v>
      </c>
      <c r="F18" s="7" t="n">
        <v>0.06924899497487437</v>
      </c>
      <c r="G18" s="7" t="n">
        <v>0.4270922110552764</v>
      </c>
      <c r="H18" s="7" t="n">
        <v>0.4208831658291458</v>
      </c>
    </row>
    <row r="19">
      <c r="A19" s="4" t="n">
        <v>2009</v>
      </c>
      <c r="B19" s="7" t="n">
        <v>0.1631090379370196</v>
      </c>
      <c r="C19" s="7" t="n">
        <v>0.04684633027522937</v>
      </c>
      <c r="D19" s="7" t="n">
        <v>0.02948539135465741</v>
      </c>
      <c r="E19" s="7" t="n">
        <v>0.01425169435490536</v>
      </c>
      <c r="F19" s="7" t="n">
        <v>0.06745397346888173</v>
      </c>
      <c r="G19" s="7" t="n">
        <v>0.4217535540127283</v>
      </c>
      <c r="H19" s="7" t="n">
        <v>0.4121458384990495</v>
      </c>
    </row>
    <row r="20">
      <c r="A20" s="4" t="n">
        <v>2010</v>
      </c>
      <c r="B20" s="7" t="n">
        <v>0.1613556604836992</v>
      </c>
      <c r="C20" s="7" t="n">
        <v>0.04636449031223776</v>
      </c>
      <c r="D20" s="7" t="n">
        <v>0.02896133662312288</v>
      </c>
      <c r="E20" s="7" t="n">
        <v>0.01985696930225568</v>
      </c>
      <c r="F20" s="7" t="n">
        <v>0.06805009831794898</v>
      </c>
      <c r="G20" s="7" t="n">
        <v>0.4227772503538194</v>
      </c>
      <c r="H20" s="7" t="n">
        <v>0.4140521272998259</v>
      </c>
    </row>
    <row r="21">
      <c r="A21" s="4" t="n">
        <v>2011</v>
      </c>
      <c r="B21" s="7" t="n">
        <v>0.1624176038398926</v>
      </c>
      <c r="C21" s="7" t="n">
        <v>0.04769218011765441</v>
      </c>
      <c r="D21" s="7" t="n">
        <v>0.02934571399336903</v>
      </c>
      <c r="E21" s="7" t="n">
        <v>0.02271328682180316</v>
      </c>
      <c r="F21" s="7" t="n">
        <v>0.06830187654481434</v>
      </c>
      <c r="G21" s="7" t="n">
        <v>0.4336732066333001</v>
      </c>
      <c r="H21" s="7" t="n">
        <v>0.4261106781738009</v>
      </c>
    </row>
    <row r="22">
      <c r="A22" s="4" t="n">
        <v>2012</v>
      </c>
      <c r="B22" s="7" t="n">
        <v>0.164949070697658</v>
      </c>
      <c r="C22" s="7" t="n">
        <v>0.05026081185201077</v>
      </c>
      <c r="D22" s="7" t="n">
        <v>0.03282307460612454</v>
      </c>
      <c r="E22" s="7" t="n">
        <v>0.02289819359120657</v>
      </c>
      <c r="F22" s="7" t="n">
        <v>0.06840012890948419</v>
      </c>
      <c r="G22" s="7" t="n">
        <v>0.4457972012467635</v>
      </c>
      <c r="H22" s="7" t="n">
        <v>0.4386415756071843</v>
      </c>
    </row>
    <row r="23">
      <c r="A23" s="4" t="n">
        <v>2013</v>
      </c>
      <c r="B23" s="7" t="n">
        <v>0.1675353903502815</v>
      </c>
      <c r="C23" s="7" t="n">
        <v>0.05038597364965818</v>
      </c>
      <c r="D23" s="7" t="n">
        <v>0.03624539699068834</v>
      </c>
      <c r="E23" s="7" t="n">
        <v>0.02310889889980532</v>
      </c>
      <c r="F23" s="7" t="n">
        <v>0.06834619912165528</v>
      </c>
      <c r="G23" s="7" t="n">
        <v>0.4543125858348048</v>
      </c>
      <c r="H23" s="7" t="n">
        <v>0.4476896288918066</v>
      </c>
    </row>
    <row r="24">
      <c r="A24" s="4" t="n">
        <v>2014</v>
      </c>
      <c r="B24" s="7" t="n">
        <v>0.1692856078260397</v>
      </c>
      <c r="C24" s="7" t="n">
        <v>0.05011298986457467</v>
      </c>
      <c r="D24" s="7" t="n">
        <v>0.03619204423203804</v>
      </c>
      <c r="E24" s="7" t="n">
        <v>0.02245357247161092</v>
      </c>
      <c r="F24" s="7" t="n">
        <v>0.06914598977682006</v>
      </c>
      <c r="G24" s="7" t="n">
        <v>0.4563207695661439</v>
      </c>
      <c r="H24" s="7" t="n">
        <v>0.4462647412655143</v>
      </c>
    </row>
    <row r="25">
      <c r="A25" s="4" t="n">
        <v>2015</v>
      </c>
      <c r="B25" s="7" t="n">
        <v>0.1674660057545146</v>
      </c>
      <c r="C25" s="7" t="n">
        <v>0.05030521458597748</v>
      </c>
      <c r="D25" s="7" t="n">
        <v>0.03562229888044074</v>
      </c>
      <c r="E25" s="7" t="n">
        <v>0.02282272842488559</v>
      </c>
      <c r="F25" s="7" t="n">
        <v>0.06912276812685735</v>
      </c>
      <c r="G25" s="7" t="n">
        <v>0.4572566028376462</v>
      </c>
      <c r="H25" s="7" t="n">
        <v>0.4449698873717749</v>
      </c>
    </row>
    <row r="26">
      <c r="A26" s="4" t="n">
        <v>2016</v>
      </c>
      <c r="B26" s="7" t="n">
        <v>0.1673092665668676</v>
      </c>
      <c r="C26" s="7" t="n">
        <v>0.0501380264259781</v>
      </c>
      <c r="D26" s="7" t="n">
        <v>0.03557680976817564</v>
      </c>
      <c r="E26" s="7" t="n">
        <v>0.02181314882613689</v>
      </c>
      <c r="F26" s="7" t="n">
        <v>0.06943529022738852</v>
      </c>
      <c r="G26" s="7" t="n">
        <v>0.4574695349398855</v>
      </c>
      <c r="H26" s="7" t="n">
        <v>0.4457046920023532</v>
      </c>
    </row>
    <row r="27">
      <c r="A27" s="4" t="n">
        <v>2017</v>
      </c>
      <c r="B27" s="7" t="n">
        <v>0.1683545833822421</v>
      </c>
      <c r="C27" s="7" t="n">
        <v>0.05028143096704995</v>
      </c>
      <c r="D27" s="7" t="n">
        <v>0.03511178039177355</v>
      </c>
      <c r="E27" s="7" t="n">
        <v>0.02521991498816807</v>
      </c>
      <c r="F27" s="7" t="n">
        <v>0.0708877020841906</v>
      </c>
      <c r="G27" s="7" t="n">
        <v>0.4657217998491064</v>
      </c>
      <c r="H27" s="7" t="n">
        <v>0.4529979521582629</v>
      </c>
    </row>
    <row r="28">
      <c r="A28" s="4" t="n">
        <v>2018</v>
      </c>
      <c r="B28" s="7" t="n">
        <v>0.1609560819287728</v>
      </c>
      <c r="C28" s="7" t="n">
        <v>0.06000773553800413</v>
      </c>
      <c r="D28" s="7" t="n">
        <v>0.03524722091669098</v>
      </c>
      <c r="E28" s="7" t="n">
        <v>0.02308306617706061</v>
      </c>
      <c r="F28" s="7" t="n">
        <v>0.07140173298128569</v>
      </c>
      <c r="G28" s="7" t="n">
        <v>0.4643910089442689</v>
      </c>
      <c r="H28" s="7" t="n">
        <v>0.4488596449889041</v>
      </c>
    </row>
    <row r="29">
      <c r="A29" s="4" t="n">
        <v>2019</v>
      </c>
      <c r="B29" s="7" t="n">
        <v>0.1487899673013029</v>
      </c>
      <c r="C29" s="7" t="n">
        <v>0.05930704088920064</v>
      </c>
      <c r="D29" s="7" t="n">
        <v>0.03450610906061861</v>
      </c>
      <c r="E29" s="7" t="n">
        <v>0.02454971965790741</v>
      </c>
      <c r="F29" s="7" t="n">
        <v>0.07171429076554751</v>
      </c>
      <c r="G29" s="7" t="n">
        <v>0.4544477505409696</v>
      </c>
      <c r="H29" s="7" t="n">
        <v>0.4395814172066769</v>
      </c>
    </row>
    <row r="30">
      <c r="A30" s="4" t="n">
        <v>2020</v>
      </c>
      <c r="B30" s="7" t="n">
        <v>0.1492898170882156</v>
      </c>
      <c r="C30" s="7" t="n">
        <v>0.06074384585787025</v>
      </c>
      <c r="D30" s="7" t="n">
        <v>0.03548585241791746</v>
      </c>
      <c r="E30" s="7" t="n">
        <v>0.02417442961925155</v>
      </c>
      <c r="F30" s="7" t="n">
        <v>0.06991833586682518</v>
      </c>
      <c r="G30" s="7" t="n">
        <v>0.4543212283610752</v>
      </c>
      <c r="H30" s="7" t="n">
        <v>0.4429282794628422</v>
      </c>
    </row>
    <row r="31">
      <c r="A31" s="4" t="n">
        <v>2021</v>
      </c>
      <c r="B31" s="7" t="n">
        <v>0.1486418813907887</v>
      </c>
      <c r="C31" s="7" t="n">
        <v>0.05910604911602479</v>
      </c>
      <c r="D31" s="7" t="n">
        <v>0.03422667818134988</v>
      </c>
      <c r="E31" s="7" t="n">
        <v>0.02472507098993582</v>
      </c>
      <c r="F31" s="7" t="n">
        <v>0.07390050324907041</v>
      </c>
      <c r="G31" s="7" t="n">
        <v>0.4509661090338432</v>
      </c>
      <c r="H31" s="7" t="n">
        <v>0.4419489319014936</v>
      </c>
    </row>
    <row r="32">
      <c r="A32" s="4" t="n">
        <v>2022</v>
      </c>
      <c r="B32" s="7" t="n">
        <v>0.1491316681970628</v>
      </c>
      <c r="C32" s="7" t="n">
        <v>0.06112290255037968</v>
      </c>
      <c r="D32" s="7" t="n">
        <v>0.03616695874185238</v>
      </c>
      <c r="E32" s="7" t="n">
        <v>0.02939943036861006</v>
      </c>
      <c r="F32" s="7" t="n">
        <v>0.07508373219713511</v>
      </c>
      <c r="G32" s="7" t="n">
        <v>0.4593109939461124</v>
      </c>
      <c r="H32" s="7" t="n">
        <v>0.4504436139151627</v>
      </c>
    </row>
    <row r="33">
      <c r="A33" s="4" t="n">
        <v>2023</v>
      </c>
      <c r="B33" s="7" t="n">
        <v>0.1463226747160906</v>
      </c>
      <c r="C33" s="7" t="n">
        <v>0.05985441590274067</v>
      </c>
      <c r="D33" s="7" t="n">
        <v>0.03420287625281157</v>
      </c>
      <c r="E33" s="7" t="n">
        <v>0.02380703684700472</v>
      </c>
      <c r="F33" s="7" t="n">
        <v>0.07280334078380253</v>
      </c>
      <c r="G33" s="7" t="n">
        <v>0.4383988290036156</v>
      </c>
      <c r="H33" s="7" t="n">
        <v>0.431542021281476</v>
      </c>
    </row>
    <row r="34">
      <c r="A34" s="4" t="n">
        <v>2024</v>
      </c>
      <c r="B34" s="7" t="n">
        <v>0.1473097904223034</v>
      </c>
      <c r="C34" s="7" t="n">
        <v>0.06025580225917099</v>
      </c>
      <c r="D34" s="7" t="n">
        <v>0.03271219077443858</v>
      </c>
      <c r="E34" s="7" t="n">
        <v>0.02315146039364467</v>
      </c>
      <c r="F34" s="7" t="n">
        <v>0.07077897654566788</v>
      </c>
      <c r="G34" s="7" t="n">
        <v>0.4339167276498381</v>
      </c>
      <c r="H34" s="7" t="n">
        <v>0.4272310642142574</v>
      </c>
    </row>
    <row r="35">
      <c r="A35" s="4" t="n">
        <v>2025</v>
      </c>
      <c r="B35" s="7" t="n">
        <v>0.1492212115052343</v>
      </c>
      <c r="C35" s="7" t="n">
        <v>0.0602660063870419</v>
      </c>
      <c r="D35" s="7" t="n">
        <v>0.03464528915540197</v>
      </c>
      <c r="E35" s="7" t="n">
        <v>0.02322691383912571</v>
      </c>
      <c r="F35" s="7" t="n">
        <v>0.069815142210644</v>
      </c>
      <c r="G35" s="7" t="n">
        <v>0.4428242065678477</v>
      </c>
      <c r="H35" s="7" t="n">
        <v>0.4363231581087081</v>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T4 — Du brut aux prélèvements obligatoires</t>
        </is>
      </c>
    </row>
    <row r="2" ht="75" customHeight="1">
      <c r="A2" s="2" t="inlineStr">
        <is>
          <t>INSEE, tableau 3.217, édition du classeur de l'auteur. La comparaison avant / après de la doctrine reste sur la notion INSEE (arbitrage du 20261020).</t>
        </is>
      </c>
    </row>
    <row r="4" ht="45" customHeight="1">
      <c r="A4" s="3" t="inlineStr"/>
      <c r="B4" s="3" t="inlineStr">
        <is>
          <t>2023</t>
        </is>
      </c>
      <c r="C4" s="3" t="inlineStr">
        <is>
          <t>2024</t>
        </is>
      </c>
      <c r="D4" s="3" t="inlineStr">
        <is>
          <t>2025</t>
        </is>
      </c>
    </row>
    <row r="5">
      <c r="A5" s="8" t="inlineStr">
        <is>
          <t>Ensemble des impôts et cotisations sociales</t>
        </is>
      </c>
      <c r="B5" s="6" t="n">
        <v>1294.954</v>
      </c>
      <c r="C5" s="6" t="n">
        <v>1329.517</v>
      </c>
      <c r="D5" s="6" t="n">
        <v>1383.594</v>
      </c>
    </row>
    <row r="6">
      <c r="A6" s="8" t="inlineStr">
        <is>
          <t>− non recouvrés</t>
        </is>
      </c>
      <c r="B6" s="6" t="n">
        <v>-4.433</v>
      </c>
      <c r="C6" s="6" t="n">
        <v>-4.627</v>
      </c>
      <c r="D6" s="6" t="n">
        <v>-6.675</v>
      </c>
    </row>
    <row r="7">
      <c r="A7" s="8" t="inlineStr">
        <is>
          <t>− cotisations imputées</t>
        </is>
      </c>
      <c r="B7" s="6" t="n">
        <v>-48.175</v>
      </c>
      <c r="C7" s="6" t="n">
        <v>-51.242</v>
      </c>
      <c r="D7" s="6" t="n">
        <v>-52.407</v>
      </c>
    </row>
    <row r="8">
      <c r="A8" s="8">
        <f> prélèvements, notion du projet (Eurostat de même)</f>
        <v/>
      </c>
      <c r="B8" s="6" t="n">
        <v>1242.346</v>
      </c>
      <c r="C8" s="6" t="n">
        <v>1273.648</v>
      </c>
      <c r="D8" s="6" t="n">
        <v>1324.512</v>
      </c>
    </row>
    <row r="9">
      <c r="A9" s="8" t="inlineStr">
        <is>
          <t>− crédits d'impôt (convention INSEE)</t>
        </is>
      </c>
      <c r="B9" s="6" t="n">
        <v>-19.431</v>
      </c>
      <c r="C9" s="6" t="n">
        <v>-19.624</v>
      </c>
      <c r="D9" s="6" t="n">
        <v>-19.445</v>
      </c>
    </row>
    <row r="10">
      <c r="A10" s="8">
        <f> prélèvements obligatoires INSEE</f>
        <v/>
      </c>
      <c r="B10" s="6" t="n">
        <v>1222.915</v>
      </c>
      <c r="C10" s="6" t="n">
        <v>1254.024</v>
      </c>
      <c r="D10" s="6" t="n">
        <v>1305.067</v>
      </c>
    </row>
    <row r="11">
      <c r="A11" s="8" t="inlineStr">
        <is>
          <t>PIB</t>
        </is>
      </c>
      <c r="B11" s="6" t="n">
        <v>2833.826</v>
      </c>
      <c r="C11" s="6" t="n">
        <v>2935.236</v>
      </c>
      <c r="D11" s="6" t="n">
        <v>2991.056</v>
      </c>
    </row>
    <row r="12">
      <c r="A12" s="8" t="inlineStr">
        <is>
          <t>Notion du projet, en % du PIB</t>
        </is>
      </c>
      <c r="B12" s="7" t="n">
        <v>0.4383988290036156</v>
      </c>
      <c r="C12" s="7" t="n">
        <v>0.4339167276498381</v>
      </c>
      <c r="D12" s="7" t="n">
        <v>0.4428242065678476</v>
      </c>
    </row>
    <row r="13">
      <c r="A13" s="8" t="inlineStr">
        <is>
          <t>Prélèvements obligatoires INSEE, en % du PIB</t>
        </is>
      </c>
      <c r="B13" s="7" t="n">
        <v>0.431542021281476</v>
      </c>
      <c r="C13" s="7" t="n">
        <v>0.4272310642142574</v>
      </c>
      <c r="D13" s="7" t="n">
        <v>0.4363231581087081</v>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T5 — Qui remet le prélèvement privé, 2025</t>
        </is>
      </c>
    </row>
    <row r="2" ht="75" customHeight="1">
      <c r="A2" s="2" t="inlineStr">
        <is>
          <t>Part remise au fisc par les entreprises, avec et sans le prélèvement à la source (ratio de l'auteur, sans source). Corrections : crédits d'impôt non retranchés, CSG du capital gardée, flux publics retirés sur pièces Eurostat. Détail : livrables/portage_prelevements_20261020.md.</t>
        </is>
      </c>
    </row>
    <row r="4" ht="45" customHeight="1">
      <c r="A4" s="3" t="inlineStr"/>
      <c r="B4" s="3" t="inlineStr">
        <is>
          <t>Base privée</t>
        </is>
      </c>
      <c r="C4" s="3" t="inlineStr">
        <is>
          <t>Remis par les entreprises</t>
        </is>
      </c>
      <c r="D4" s="3" t="inlineStr">
        <is>
          <t>Remis par les ménages</t>
        </is>
      </c>
      <c r="E4" s="3" t="inlineStr">
        <is>
          <t>Part des entreprises</t>
        </is>
      </c>
      <c r="F4" s="3" t="inlineStr">
        <is>
          <t>Part des entreprises, hors prélèvement à la source</t>
        </is>
      </c>
    </row>
    <row r="5">
      <c r="A5" s="8" t="inlineStr">
        <is>
          <t>Calcul de l'auteur</t>
        </is>
      </c>
      <c r="B5" s="6" t="n">
        <v>1153.214</v>
      </c>
      <c r="C5" s="6" t="n">
        <v>1017.042075</v>
      </c>
      <c r="D5" s="6" t="n">
        <v>130.669925</v>
      </c>
      <c r="E5" s="7" t="n">
        <v>0.8819196393730913</v>
      </c>
      <c r="F5" s="7" t="n">
        <v>0.8399863338461032</v>
      </c>
    </row>
    <row r="6">
      <c r="A6" s="8" t="inlineStr">
        <is>
          <t>Corrigé sur pièces</t>
        </is>
      </c>
      <c r="B6" s="6" t="n">
        <v>1181.501296735814</v>
      </c>
      <c r="C6" s="6" t="n">
        <v>1041.322371735814</v>
      </c>
      <c r="D6" s="6" t="n">
        <v>134.676925</v>
      </c>
      <c r="E6" s="7" t="n">
        <v>0.8813552508259799</v>
      </c>
      <c r="F6" s="7" t="n">
        <v>0.8404259051421444</v>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c r="A1" s="1" t="inlineStr">
        <is>
          <t>T6 — Sur quoi porte le prélèvement, 1995-2024</t>
        </is>
      </c>
    </row>
    <row r="2" ht="75" customHeight="1">
      <c r="A2" s="2" t="inlineStr">
        <is>
          <t>Fonction économique de la Commission européenne (TAXUD), table du fiscaliste, hors TEOM et cotisations imputées. Aucune catégorie « entreprise » : trois bases.</t>
        </is>
      </c>
    </row>
    <row r="4" ht="45" customHeight="1">
      <c r="A4" s="3" t="inlineStr">
        <is>
          <t>Année</t>
        </is>
      </c>
      <c r="B4" s="3" t="inlineStr">
        <is>
          <t>Travail</t>
        </is>
      </c>
      <c r="C4" s="3" t="inlineStr">
        <is>
          <t>Consommation</t>
        </is>
      </c>
      <c r="D4" s="3" t="inlineStr">
        <is>
          <t>Capital</t>
        </is>
      </c>
      <c r="E4" s="3" t="inlineStr">
        <is>
          <t>Total (Md€)</t>
        </is>
      </c>
    </row>
    <row r="5">
      <c r="A5" s="4" t="n">
        <v>1995</v>
      </c>
      <c r="B5" s="7" t="n">
        <v>0.5096105113538932</v>
      </c>
      <c r="C5" s="7" t="n">
        <v>0.2793774126308489</v>
      </c>
      <c r="D5" s="7" t="n">
        <v>0.2110120760152579</v>
      </c>
      <c r="E5" s="6" t="n">
        <v>524.8419999999999</v>
      </c>
    </row>
    <row r="6">
      <c r="A6" s="4" t="n">
        <v>1996</v>
      </c>
      <c r="B6" s="7" t="n">
        <v>0.500417748714202</v>
      </c>
      <c r="C6" s="7" t="n">
        <v>0.280513740496669</v>
      </c>
      <c r="D6" s="7" t="n">
        <v>0.2190685107891291</v>
      </c>
      <c r="E6" s="6" t="n">
        <v>552.9639999999999</v>
      </c>
    </row>
    <row r="7">
      <c r="A7" s="4" t="n">
        <v>1997</v>
      </c>
      <c r="B7" s="7" t="n">
        <v>0.4943508234392954</v>
      </c>
      <c r="C7" s="7" t="n">
        <v>0.2762194909647993</v>
      </c>
      <c r="D7" s="7" t="n">
        <v>0.2294296855959054</v>
      </c>
      <c r="E7" s="6" t="n">
        <v>574.4200000000001</v>
      </c>
    </row>
    <row r="8">
      <c r="A8" s="4" t="n">
        <v>1998</v>
      </c>
      <c r="B8" s="7" t="n">
        <v>0.4898673433998507</v>
      </c>
      <c r="C8" s="7" t="n">
        <v>0.2729214464838332</v>
      </c>
      <c r="D8" s="7" t="n">
        <v>0.2372112101163162</v>
      </c>
      <c r="E8" s="6" t="n">
        <v>599.744</v>
      </c>
    </row>
    <row r="9">
      <c r="A9" s="4" t="n">
        <v>1999</v>
      </c>
      <c r="B9" s="7" t="n">
        <v>0.4888921222396367</v>
      </c>
      <c r="C9" s="7" t="n">
        <v>0.2681073352954852</v>
      </c>
      <c r="D9" s="7" t="n">
        <v>0.2430005424648781</v>
      </c>
      <c r="E9" s="6" t="n">
        <v>632.299</v>
      </c>
    </row>
    <row r="10">
      <c r="A10" s="4" t="n">
        <v>2000</v>
      </c>
      <c r="B10" s="7" t="n">
        <v>0.4898035424570307</v>
      </c>
      <c r="C10" s="7" t="n">
        <v>0.2590543689083523</v>
      </c>
      <c r="D10" s="7" t="n">
        <v>0.2511420886346171</v>
      </c>
      <c r="E10" s="6" t="n">
        <v>655.8159999999999</v>
      </c>
    </row>
    <row r="11">
      <c r="A11" s="4" t="n">
        <v>2001</v>
      </c>
      <c r="B11" s="7" t="n">
        <v>0.4921931207841825</v>
      </c>
      <c r="C11" s="7" t="n">
        <v>0.2517920436492205</v>
      </c>
      <c r="D11" s="7" t="n">
        <v>0.256014835566597</v>
      </c>
      <c r="E11" s="6" t="n">
        <v>681.0659999999999</v>
      </c>
    </row>
    <row r="12">
      <c r="A12" s="4" t="n">
        <v>2002</v>
      </c>
      <c r="B12" s="7" t="n">
        <v>0.4950186611002915</v>
      </c>
      <c r="C12" s="7" t="n">
        <v>0.2554026372048569</v>
      </c>
      <c r="D12" s="7" t="n">
        <v>0.2495787016948517</v>
      </c>
      <c r="E12" s="6" t="n">
        <v>693.689</v>
      </c>
    </row>
    <row r="13">
      <c r="A13" s="4" t="n">
        <v>2003</v>
      </c>
      <c r="B13" s="7" t="n">
        <v>0.5013683603583332</v>
      </c>
      <c r="C13" s="7" t="n">
        <v>0.2536571645548258</v>
      </c>
      <c r="D13" s="7" t="n">
        <v>0.244974475086841</v>
      </c>
      <c r="E13" s="6" t="n">
        <v>711.0699999999999</v>
      </c>
    </row>
    <row r="14">
      <c r="A14" s="4" t="n">
        <v>2004</v>
      </c>
      <c r="B14" s="7" t="n">
        <v>0.4935695890116965</v>
      </c>
      <c r="C14" s="7" t="n">
        <v>0.253974407125228</v>
      </c>
      <c r="D14" s="7" t="n">
        <v>0.2524560038630754</v>
      </c>
      <c r="E14" s="6" t="n">
        <v>745.52</v>
      </c>
    </row>
    <row r="15">
      <c r="A15" s="4" t="n">
        <v>2005</v>
      </c>
      <c r="B15" s="7" t="n">
        <v>0.5011025970109111</v>
      </c>
      <c r="C15" s="7" t="n">
        <v>0.2571642693287409</v>
      </c>
      <c r="D15" s="7" t="n">
        <v>0.2417331336603479</v>
      </c>
      <c r="E15" s="6" t="n">
        <v>765.919</v>
      </c>
    </row>
    <row r="16">
      <c r="A16" s="4" t="n">
        <v>2006</v>
      </c>
      <c r="B16" s="7" t="n">
        <v>0.5030743821387352</v>
      </c>
      <c r="C16" s="7" t="n">
        <v>0.2536887610936443</v>
      </c>
      <c r="D16" s="7" t="n">
        <v>0.2432368567676204</v>
      </c>
      <c r="E16" s="6" t="n">
        <v>804.0640000000001</v>
      </c>
    </row>
    <row r="17">
      <c r="A17" s="4" t="n">
        <v>2007</v>
      </c>
      <c r="B17" s="7" t="n">
        <v>0.5032598914128433</v>
      </c>
      <c r="C17" s="7" t="n">
        <v>0.2508277044636726</v>
      </c>
      <c r="D17" s="7" t="n">
        <v>0.245912404123484</v>
      </c>
      <c r="E17" s="6" t="n">
        <v>834.537</v>
      </c>
    </row>
    <row r="18">
      <c r="A18" s="4" t="n">
        <v>2008</v>
      </c>
      <c r="B18" s="7" t="n">
        <v>0.5093453570375639</v>
      </c>
      <c r="C18" s="7" t="n">
        <v>0.2478742471535736</v>
      </c>
      <c r="D18" s="7" t="n">
        <v>0.2427803958088625</v>
      </c>
      <c r="E18" s="6" t="n">
        <v>854.756</v>
      </c>
    </row>
    <row r="19">
      <c r="A19" s="4" t="n">
        <v>2009</v>
      </c>
      <c r="B19" s="7" t="n">
        <v>0.5282665864380313</v>
      </c>
      <c r="C19" s="7" t="n">
        <v>0.2507079892860666</v>
      </c>
      <c r="D19" s="7" t="n">
        <v>0.2210254242759021</v>
      </c>
      <c r="E19" s="6" t="n">
        <v>820.9870000000001</v>
      </c>
    </row>
    <row r="20">
      <c r="A20" s="4" t="n">
        <v>2010</v>
      </c>
      <c r="B20" s="7" t="n">
        <v>0.5260665461649585</v>
      </c>
      <c r="C20" s="7" t="n">
        <v>0.2517244548554569</v>
      </c>
      <c r="D20" s="7" t="n">
        <v>0.2222089989795847</v>
      </c>
      <c r="E20" s="6" t="n">
        <v>848.674</v>
      </c>
    </row>
    <row r="21">
      <c r="A21" s="4" t="n">
        <v>2011</v>
      </c>
      <c r="B21" s="7" t="n">
        <v>0.519069285441073</v>
      </c>
      <c r="C21" s="7" t="n">
        <v>0.2500077833818127</v>
      </c>
      <c r="D21" s="7" t="n">
        <v>0.2309229311771142</v>
      </c>
      <c r="E21" s="6" t="n">
        <v>899.3520000000001</v>
      </c>
    </row>
    <row r="22">
      <c r="A22" s="4" t="n">
        <v>2012</v>
      </c>
      <c r="B22" s="7" t="n">
        <v>0.519482752727863</v>
      </c>
      <c r="C22" s="7" t="n">
        <v>0.2463642733246179</v>
      </c>
      <c r="D22" s="7" t="n">
        <v>0.234152973947519</v>
      </c>
      <c r="E22" s="6" t="n">
        <v>936.2640000000001</v>
      </c>
    </row>
    <row r="23">
      <c r="A23" s="4" t="n">
        <v>2013</v>
      </c>
      <c r="B23" s="7" t="n">
        <v>0.5267916655488856</v>
      </c>
      <c r="C23" s="7" t="n">
        <v>0.243033816145987</v>
      </c>
      <c r="D23" s="7" t="n">
        <v>0.2301745183051274</v>
      </c>
      <c r="E23" s="6" t="n">
        <v>969.182</v>
      </c>
    </row>
    <row r="24">
      <c r="A24" s="4" t="n">
        <v>2014</v>
      </c>
      <c r="B24" s="7" t="n">
        <v>0.5296100280805678</v>
      </c>
      <c r="C24" s="7" t="n">
        <v>0.243878112532673</v>
      </c>
      <c r="D24" s="7" t="n">
        <v>0.2265118593867593</v>
      </c>
      <c r="E24" s="6" t="n">
        <v>988.5839999999998</v>
      </c>
    </row>
    <row r="25">
      <c r="A25" s="4" t="n">
        <v>2015</v>
      </c>
      <c r="B25" s="7" t="n">
        <v>0.5247144946731023</v>
      </c>
      <c r="C25" s="7" t="n">
        <v>0.2462886529718924</v>
      </c>
      <c r="D25" s="7" t="n">
        <v>0.2289968523550054</v>
      </c>
      <c r="E25" s="6" t="n">
        <v>1012.503</v>
      </c>
    </row>
    <row r="26">
      <c r="A26" s="4" t="n">
        <v>2016</v>
      </c>
      <c r="B26" s="7" t="n">
        <v>0.5262486264913772</v>
      </c>
      <c r="C26" s="7" t="n">
        <v>0.2493473398742217</v>
      </c>
      <c r="D26" s="7" t="n">
        <v>0.2244040336344013</v>
      </c>
      <c r="E26" s="6" t="n">
        <v>1026.568</v>
      </c>
    </row>
    <row r="27">
      <c r="A27" s="4" t="n">
        <v>2017</v>
      </c>
      <c r="B27" s="7" t="n">
        <v>0.5197627371719531</v>
      </c>
      <c r="C27" s="7" t="n">
        <v>0.2494149051685007</v>
      </c>
      <c r="D27" s="7" t="n">
        <v>0.2308223576595461</v>
      </c>
      <c r="E27" s="6" t="n">
        <v>1072.903</v>
      </c>
    </row>
    <row r="28">
      <c r="A28" s="4" t="n">
        <v>2018</v>
      </c>
      <c r="B28" s="7" t="n">
        <v>0.5224648676578681</v>
      </c>
      <c r="C28" s="7" t="n">
        <v>0.2527982155462887</v>
      </c>
      <c r="D28" s="7" t="n">
        <v>0.224736916795843</v>
      </c>
      <c r="E28" s="6" t="n">
        <v>1099.272</v>
      </c>
    </row>
    <row r="29">
      <c r="A29" s="4" t="n">
        <v>2019</v>
      </c>
      <c r="B29" s="7" t="n">
        <v>0.5102013218309459</v>
      </c>
      <c r="C29" s="7" t="n">
        <v>0.2568455823421704</v>
      </c>
      <c r="D29" s="7" t="n">
        <v>0.2329530958268836</v>
      </c>
      <c r="E29" s="6" t="n">
        <v>1109.219</v>
      </c>
    </row>
    <row r="30">
      <c r="A30" s="4" t="n">
        <v>2020</v>
      </c>
      <c r="B30" s="7" t="n">
        <v>0.515088658036513</v>
      </c>
      <c r="C30" s="7" t="n">
        <v>0.2490515203425722</v>
      </c>
      <c r="D30" s="7" t="n">
        <v>0.2358598216209148</v>
      </c>
      <c r="E30" s="6" t="n">
        <v>1063.017</v>
      </c>
    </row>
    <row r="31">
      <c r="A31" s="4" t="n">
        <v>2021</v>
      </c>
      <c r="B31" s="7" t="n">
        <v>0.5070429838662189</v>
      </c>
      <c r="C31" s="7" t="n">
        <v>0.2583918600737037</v>
      </c>
      <c r="D31" s="7" t="n">
        <v>0.2345651560600774</v>
      </c>
      <c r="E31" s="6" t="n">
        <v>1137.799</v>
      </c>
    </row>
    <row r="32">
      <c r="A32" s="4" t="n">
        <v>2022</v>
      </c>
      <c r="B32" s="7" t="n">
        <v>0.5054783445369014</v>
      </c>
      <c r="C32" s="7" t="n">
        <v>0.2468447302355732</v>
      </c>
      <c r="D32" s="7" t="n">
        <v>0.2476769252275253</v>
      </c>
      <c r="E32" s="6" t="n">
        <v>1223.271</v>
      </c>
    </row>
    <row r="33">
      <c r="A33" s="4" t="n">
        <v>2023</v>
      </c>
      <c r="B33" s="7" t="n">
        <v>0.5136452273026623</v>
      </c>
      <c r="C33" s="7" t="n">
        <v>0.2457072548597569</v>
      </c>
      <c r="D33" s="7" t="n">
        <v>0.2406475178375808</v>
      </c>
      <c r="E33" s="6" t="n">
        <v>1245.124</v>
      </c>
    </row>
    <row r="34">
      <c r="A34" s="4" t="n">
        <v>2024</v>
      </c>
      <c r="B34" s="7" t="n">
        <v>0.5166962776450839</v>
      </c>
      <c r="C34" s="7" t="n">
        <v>0.2462299929796489</v>
      </c>
      <c r="D34" s="7" t="n">
        <v>0.2370737293752671</v>
      </c>
      <c r="E34" s="6" t="n">
        <v>1274.865</v>
      </c>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s>
  <sheetData>
    <row r="1">
      <c r="A1" s="1" t="inlineStr">
        <is>
          <t>T7 — Un même euro, sept classements, 2024</t>
        </is>
      </c>
    </row>
    <row r="2" ht="75" customHeight="1">
      <c r="A2" s="2" t="inlineStr">
        <is>
          <t>Prélèvements bruts 2024, 1 335,5 Md€ dont TEOM et cotisations imputées. Table du fiscaliste.</t>
        </is>
      </c>
    </row>
    <row r="4" ht="45" customHeight="1">
      <c r="A4" s="3" t="inlineStr">
        <is>
          <t>Classement</t>
        </is>
      </c>
      <c r="B4" s="3" t="inlineStr">
        <is>
          <t>Catégorie</t>
        </is>
      </c>
      <c r="C4" s="3" t="inlineStr">
        <is>
          <t>Md€</t>
        </is>
      </c>
    </row>
    <row r="5">
      <c r="A5" s="8" t="inlineStr">
        <is>
          <t>Qualification juridique</t>
        </is>
      </c>
      <c r="B5" s="8" t="inlineStr">
        <is>
          <t>Fiscal</t>
        </is>
      </c>
      <c r="C5" s="6" t="n">
        <v>838.4300000000004</v>
      </c>
    </row>
    <row r="6">
      <c r="A6" s="8" t="inlineStr">
        <is>
          <t>Qualification juridique</t>
        </is>
      </c>
      <c r="B6" s="8" t="inlineStr">
        <is>
          <t>Non fiscal</t>
        </is>
      </c>
      <c r="C6" s="6" t="n">
        <v>497.079</v>
      </c>
    </row>
    <row r="7">
      <c r="A7" s="8" t="inlineStr">
        <is>
          <t>INSEE</t>
        </is>
      </c>
      <c r="B7" s="8" t="inlineStr">
        <is>
          <t>Cotisations effectives</t>
        </is>
      </c>
      <c r="C7" s="6" t="n">
        <v>431.065</v>
      </c>
    </row>
    <row r="8">
      <c r="A8" s="8" t="inlineStr">
        <is>
          <t>INSEE</t>
        </is>
      </c>
      <c r="B8" s="8" t="inlineStr">
        <is>
          <t>D51 Impôts sur le revenu</t>
        </is>
      </c>
      <c r="C8" s="6" t="n">
        <v>359.026</v>
      </c>
    </row>
    <row r="9">
      <c r="A9" s="8" t="inlineStr">
        <is>
          <t>INSEE</t>
        </is>
      </c>
      <c r="B9" s="8" t="inlineStr">
        <is>
          <t>D211 TVA</t>
        </is>
      </c>
      <c r="C9" s="6" t="n">
        <v>206.332</v>
      </c>
    </row>
    <row r="10">
      <c r="A10" s="8" t="inlineStr">
        <is>
          <t>INSEE</t>
        </is>
      </c>
      <c r="B10" s="8" t="inlineStr">
        <is>
          <t>D214 Autres impôts sur les produits</t>
        </is>
      </c>
      <c r="C10" s="6" t="n">
        <v>117.626</v>
      </c>
    </row>
    <row r="11">
      <c r="A11" s="8" t="inlineStr">
        <is>
          <t>INSEE</t>
        </is>
      </c>
      <c r="B11" s="8" t="inlineStr">
        <is>
          <t>D292 Autres impôts sur la production</t>
        </is>
      </c>
      <c r="C11" s="6" t="n">
        <v>71.04999999999998</v>
      </c>
    </row>
    <row r="12">
      <c r="A12" s="8" t="inlineStr">
        <is>
          <t>INSEE</t>
        </is>
      </c>
      <c r="B12" s="8" t="inlineStr">
        <is>
          <t>D291 Impôts sur les salaires</t>
        </is>
      </c>
      <c r="C12" s="6" t="n">
        <v>57.97200000000001</v>
      </c>
    </row>
    <row r="13">
      <c r="A13" s="8" t="inlineStr">
        <is>
          <t>INSEE</t>
        </is>
      </c>
      <c r="B13" s="8" t="inlineStr">
        <is>
          <t>Cotisations imputées</t>
        </is>
      </c>
      <c r="C13" s="6" t="n">
        <v>51.216</v>
      </c>
    </row>
    <row r="14">
      <c r="A14" s="8" t="inlineStr">
        <is>
          <t>INSEE</t>
        </is>
      </c>
      <c r="B14" s="8" t="inlineStr">
        <is>
          <t>D91 Impôts en capital</t>
        </is>
      </c>
      <c r="C14" s="6" t="n">
        <v>21.474</v>
      </c>
    </row>
    <row r="15">
      <c r="A15" s="8" t="inlineStr">
        <is>
          <t>INSEE</t>
        </is>
      </c>
      <c r="B15" s="8" t="inlineStr">
        <is>
          <t>Hors prélèvements Insee</t>
        </is>
      </c>
      <c r="C15" s="6" t="n">
        <v>9.428000000000001</v>
      </c>
    </row>
    <row r="16">
      <c r="A16" s="8" t="inlineStr">
        <is>
          <t>INSEE</t>
        </is>
      </c>
      <c r="B16" s="8" t="inlineStr">
        <is>
          <t>D59 Autres impôts courants</t>
        </is>
      </c>
      <c r="C16" s="6" t="n">
        <v>7.023</v>
      </c>
    </row>
    <row r="17">
      <c r="A17" s="8" t="inlineStr">
        <is>
          <t>INSEE</t>
        </is>
      </c>
      <c r="B17" s="8" t="inlineStr">
        <is>
          <t>D212 Impôts sur les importations</t>
        </is>
      </c>
      <c r="C17" s="6" t="n">
        <v>3.297</v>
      </c>
    </row>
    <row r="18">
      <c r="A18" s="8" t="inlineStr">
        <is>
          <t>Eurostat (SEC 2010)</t>
        </is>
      </c>
      <c r="B18" s="8" t="inlineStr">
        <is>
          <t>D61 Cotisations sociales</t>
        </is>
      </c>
      <c r="C18" s="6" t="n">
        <v>482.281</v>
      </c>
    </row>
    <row r="19">
      <c r="A19" s="8" t="inlineStr">
        <is>
          <t>Eurostat (SEC 2010)</t>
        </is>
      </c>
      <c r="B19" s="8" t="inlineStr">
        <is>
          <t>D5 Revenu et patrimoine</t>
        </is>
      </c>
      <c r="C19" s="6" t="n">
        <v>366.049</v>
      </c>
    </row>
    <row r="20">
      <c r="A20" s="8" t="inlineStr">
        <is>
          <t>Eurostat (SEC 2010)</t>
        </is>
      </c>
      <c r="B20" s="8" t="inlineStr">
        <is>
          <t>D21 Impôts sur les produits</t>
        </is>
      </c>
      <c r="C20" s="6" t="n">
        <v>327.2550000000002</v>
      </c>
    </row>
    <row r="21">
      <c r="A21" s="8" t="inlineStr">
        <is>
          <t>Eurostat (SEC 2010)</t>
        </is>
      </c>
      <c r="B21" s="8" t="inlineStr">
        <is>
          <t>D29 Autres impôts sur la production</t>
        </is>
      </c>
      <c r="C21" s="6" t="n">
        <v>129.022</v>
      </c>
    </row>
    <row r="22">
      <c r="A22" s="8" t="inlineStr">
        <is>
          <t>Eurostat (SEC 2010)</t>
        </is>
      </c>
      <c r="B22" s="8" t="inlineStr">
        <is>
          <t>D91 Impôts en capital</t>
        </is>
      </c>
      <c r="C22" s="6" t="n">
        <v>21.474</v>
      </c>
    </row>
    <row r="23">
      <c r="A23" s="8" t="inlineStr">
        <is>
          <t>Eurostat (SEC 2010)</t>
        </is>
      </c>
      <c r="B23" s="8" t="inlineStr">
        <is>
          <t>Hors SEC (redevance)</t>
        </is>
      </c>
      <c r="C23" s="6" t="n">
        <v>9.428000000000001</v>
      </c>
    </row>
    <row r="24">
      <c r="A24" s="8" t="inlineStr">
        <is>
          <t>FMI</t>
        </is>
      </c>
      <c r="B24" s="8" t="inlineStr">
        <is>
          <t>121 Cotisations de sécurité sociale</t>
        </is>
      </c>
      <c r="C24" s="6" t="n">
        <v>431.065</v>
      </c>
    </row>
    <row r="25">
      <c r="A25" s="8" t="inlineStr">
        <is>
          <t>FMI</t>
        </is>
      </c>
      <c r="B25" s="8" t="inlineStr">
        <is>
          <t>111 Revenus et bénéfices</t>
        </is>
      </c>
      <c r="C25" s="6" t="n">
        <v>349.473</v>
      </c>
    </row>
    <row r="26">
      <c r="A26" s="8" t="inlineStr">
        <is>
          <t>FMI</t>
        </is>
      </c>
      <c r="B26" s="8" t="inlineStr">
        <is>
          <t>114 Biens et services</t>
        </is>
      </c>
      <c r="C26" s="6" t="n">
        <v>338.5900000000002</v>
      </c>
    </row>
    <row r="27">
      <c r="A27" s="8" t="inlineStr">
        <is>
          <t>FMI</t>
        </is>
      </c>
      <c r="B27" s="8" t="inlineStr">
        <is>
          <t>113 Patrimoine</t>
        </is>
      </c>
      <c r="C27" s="6" t="n">
        <v>72.711</v>
      </c>
    </row>
    <row r="28">
      <c r="A28" s="8" t="inlineStr">
        <is>
          <t>FMI</t>
        </is>
      </c>
      <c r="B28" s="8" t="inlineStr">
        <is>
          <t>112 Salaires</t>
        </is>
      </c>
      <c r="C28" s="6" t="n">
        <v>57.97200000000001</v>
      </c>
    </row>
    <row r="29">
      <c r="A29" s="8" t="inlineStr">
        <is>
          <t>FMI</t>
        </is>
      </c>
      <c r="B29" s="8" t="inlineStr">
        <is>
          <t>122 Autres cotisations sociales</t>
        </is>
      </c>
      <c r="C29" s="6" t="n">
        <v>51.216</v>
      </c>
    </row>
    <row r="30">
      <c r="A30" s="8" t="inlineStr">
        <is>
          <t>FMI</t>
        </is>
      </c>
      <c r="B30" s="8" t="inlineStr">
        <is>
          <t>116 Autres impôts</t>
        </is>
      </c>
      <c r="C30" s="6" t="n">
        <v>21.757</v>
      </c>
    </row>
    <row r="31">
      <c r="A31" s="8" t="inlineStr">
        <is>
          <t>FMI</t>
        </is>
      </c>
      <c r="B31" s="8" t="inlineStr">
        <is>
          <t>Hors impôts FMI</t>
        </is>
      </c>
      <c r="C31" s="6" t="n">
        <v>9.428000000000001</v>
      </c>
    </row>
    <row r="32">
      <c r="A32" s="8" t="inlineStr">
        <is>
          <t>FMI</t>
        </is>
      </c>
      <c r="B32" s="8" t="inlineStr">
        <is>
          <t>115 Commerce extérieur</t>
        </is>
      </c>
      <c r="C32" s="6" t="n">
        <v>3.297</v>
      </c>
    </row>
    <row r="33">
      <c r="A33" s="8" t="inlineStr">
        <is>
          <t>OCDE</t>
        </is>
      </c>
      <c r="B33" s="8" t="inlineStr">
        <is>
          <t>2000 Cotisations sociales</t>
        </is>
      </c>
      <c r="C33" s="6" t="n">
        <v>431.065</v>
      </c>
    </row>
    <row r="34">
      <c r="A34" s="8" t="inlineStr">
        <is>
          <t>OCDE</t>
        </is>
      </c>
      <c r="B34" s="8" t="inlineStr">
        <is>
          <t>1000 Revenus et bénéfices</t>
        </is>
      </c>
      <c r="C34" s="6" t="n">
        <v>349.473</v>
      </c>
    </row>
    <row r="35">
      <c r="A35" s="8" t="inlineStr">
        <is>
          <t>OCDE</t>
        </is>
      </c>
      <c r="B35" s="8" t="inlineStr">
        <is>
          <t>5000 Biens et services</t>
        </is>
      </c>
      <c r="C35" s="6" t="n">
        <v>324.6810000000002</v>
      </c>
    </row>
    <row r="36">
      <c r="A36" s="8" t="inlineStr">
        <is>
          <t>OCDE</t>
        </is>
      </c>
      <c r="B36" s="8" t="inlineStr">
        <is>
          <t>4000 Patrimoine</t>
        </is>
      </c>
      <c r="C36" s="6" t="n">
        <v>99.345</v>
      </c>
    </row>
    <row r="37">
      <c r="A37" s="8" t="inlineStr">
        <is>
          <t>OCDE</t>
        </is>
      </c>
      <c r="B37" s="8" t="inlineStr">
        <is>
          <t>3000 Salaires</t>
        </is>
      </c>
      <c r="C37" s="6" t="n">
        <v>57.97200000000001</v>
      </c>
    </row>
    <row r="38">
      <c r="A38" s="8" t="inlineStr">
        <is>
          <t>OCDE</t>
        </is>
      </c>
      <c r="B38" s="8" t="inlineStr">
        <is>
          <t>Hors total OCDE</t>
        </is>
      </c>
      <c r="C38" s="6" t="n">
        <v>51.216</v>
      </c>
    </row>
    <row r="39">
      <c r="A39" s="8" t="inlineStr">
        <is>
          <t>OCDE</t>
        </is>
      </c>
      <c r="B39" s="8" t="inlineStr">
        <is>
          <t>6000 Autres impôts</t>
        </is>
      </c>
      <c r="C39" s="6" t="n">
        <v>21.757</v>
      </c>
    </row>
    <row r="40">
      <c r="A40" s="8" t="inlineStr">
        <is>
          <t>ONU (UNU-WIDER)</t>
        </is>
      </c>
      <c r="B40" s="8" t="inlineStr">
        <is>
          <t>Impôts directs</t>
        </is>
      </c>
      <c r="C40" s="6" t="n">
        <v>480.1559999999999</v>
      </c>
    </row>
    <row r="41">
      <c r="A41" s="8" t="inlineStr">
        <is>
          <t>ONU (UNU-WIDER)</t>
        </is>
      </c>
      <c r="B41" s="8" t="inlineStr">
        <is>
          <t>Cotisations sociales</t>
        </is>
      </c>
      <c r="C41" s="6" t="n">
        <v>431.065</v>
      </c>
    </row>
    <row r="42">
      <c r="A42" s="8" t="inlineStr">
        <is>
          <t>ONU (UNU-WIDER)</t>
        </is>
      </c>
      <c r="B42" s="8" t="inlineStr">
        <is>
          <t>Impôts indirects</t>
        </is>
      </c>
      <c r="C42" s="6" t="n">
        <v>363.6440000000002</v>
      </c>
    </row>
    <row r="43">
      <c r="A43" s="8" t="inlineStr">
        <is>
          <t>ONU (UNU-WIDER)</t>
        </is>
      </c>
      <c r="B43" s="8" t="inlineStr">
        <is>
          <t>Hors GRD</t>
        </is>
      </c>
      <c r="C43" s="6" t="n">
        <v>60.64400000000001</v>
      </c>
    </row>
    <row r="44">
      <c r="A44" s="8" t="inlineStr">
        <is>
          <t>TAXUD</t>
        </is>
      </c>
      <c r="B44" s="8" t="inlineStr">
        <is>
          <t>Travail</t>
        </is>
      </c>
      <c r="C44" s="6" t="n">
        <v>658.718</v>
      </c>
    </row>
    <row r="45">
      <c r="A45" s="8" t="inlineStr">
        <is>
          <t>TAXUD</t>
        </is>
      </c>
      <c r="B45" s="8" t="inlineStr">
        <is>
          <t>Consommation</t>
        </is>
      </c>
      <c r="C45" s="6" t="n">
        <v>313.9100000000001</v>
      </c>
    </row>
    <row r="46">
      <c r="A46" s="8" t="inlineStr">
        <is>
          <t>TAXUD</t>
        </is>
      </c>
      <c r="B46" s="8" t="inlineStr">
        <is>
          <t>Capital</t>
        </is>
      </c>
      <c r="C46" s="6" t="n">
        <v>302.237</v>
      </c>
    </row>
    <row r="47">
      <c r="A47" s="8" t="inlineStr">
        <is>
          <t>TAXUD</t>
        </is>
      </c>
      <c r="B47" s="8" t="inlineStr">
        <is>
          <t>Hors total TAXUD</t>
        </is>
      </c>
      <c r="C47" s="6" t="n">
        <v>60.64400000000001</v>
      </c>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Sources</t>
        </is>
      </c>
    </row>
    <row r="2">
      <c r="A2" t="inlineStr">
        <is>
          <t>INSEE, comptes nationaux annuels base 2020 : tableaux 1.101, 1.103, 3.201, 3.217, 7.301, 7.401 (classeurs de l'auteur T_3217_Impots_0902 et T_1101_1103_PIBtoPPR).</t>
        </is>
      </c>
    </row>
    <row r="3">
      <c r="A3" t="inlineStr">
        <is>
          <t>Eurostat : gov_10a_main, gov_10a_taxag, nasa_10_nf_tr, nama_10_a10_e (extraction du 20 octobre 2026).</t>
        </is>
      </c>
    </row>
    <row r="4">
      <c r="A4" t="inlineStr">
        <is>
          <t>Table « sept classements » d'un fiscaliste : INSEE 3.217, liste nationale TAXUD, OCDE Revenue Statistics, FMI GFSM 2014, UNU-WIDER GRD, 1995-2024.</t>
        </is>
      </c>
    </row>
    <row r="5">
      <c r="A5" t="inlineStr">
        <is>
          <t>Méthode du produit privé restant : M. N. Rothbard, Power and Market, chapitre 5.</t>
        </is>
      </c>
    </row>
    <row r="6">
      <c r="A6" t="inlineStr">
        <is>
          <t>Calculs : appareil/produit_prive_restant.py, portage_prelevements.py, rapprocher_7classements.py.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2026-10-20T16:26:16Z</dcterms:created>
  <dcterms:modified xmlns:dcterms="http://purl.org/dc/terms/" xmlns:xsi="http://www.w3.org/2001/XMLSchema-instance" xsi:type="dcterms:W3CDTF">2026-10-20T16:26:16Z</dcterms:modified>
</cp:coreProperties>
</file>