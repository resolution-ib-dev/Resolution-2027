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Lisez-moi" sheetId="1" state="visible" r:id="rId3"/>
    <sheet name="Tri" sheetId="2" state="visible" r:id="rId4"/>
    <sheet name="Par sort" sheetId="3" state="visible" r:id="rId5"/>
    <sheet name="Par assiette" sheetId="4" state="visible" r:id="rId6"/>
    <sheet name="Par impôt qui reprend" sheetId="5" state="visible" r:id="rId7"/>
    <sheet name="Par poste du schéma"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<sst xmlns="http://schemas.openxmlformats.org/spreadsheetml/2006/main" count="3417" uniqueCount="994">
  <si>
    <t xml:space="preserve">Le tri des prélèvements</t>
  </si>
  <si>
    <t xml:space="preserve">420 prélèvements obligatoires recensés, un par un, et le sort que la refonte fiscale de Résolution réserve à chacun.</t>
  </si>
  <si>
    <t xml:space="preserve">Les six sorts</t>
  </si>
  <si>
    <t xml:space="preserve">Conservé et absorbe — L’un des quatre impôts que la refonte garde : taxe sur la valeur ajoutée, impôt sur le revenu, impôt sur les sociétés, taxe foncière. Il reprend le produit des prélèvements fondus en lui.</t>
  </si>
  <si>
    <t xml:space="preserve">Fondu par rattachement — Le prélèvement disparaît ; son produit est repris par l’impôt conservé qui porte la même assiette (colonne « Impôt qui le reprend »).</t>
  </si>
  <si>
    <t xml:space="preserve">Fondu dans l’équilibre — Le prélèvement disparaît ; son produit est repris par les hausses d’équilibre des quatre impôts conservés, sans rattachement à l’un d’eux.</t>
  </si>
  <si>
    <t xml:space="preserve">Maintenu à part — Le prélèvement demeure, en complément de l’impôt qu’il prolonge (colonne « Impôt qui le reprend »).</t>
  </si>
  <si>
    <t xml:space="preserve">Cotisations sociales à unifier — Les cotisations sociales ne relèvent pas de la refonte fiscale : elles sont isolées, pour être unifiées.</t>
  </si>
  <si>
    <t xml:space="preserve">Hors champ — Recette publique qui n’est pas un prélèvement obligatoire (produit d’enchères, recette non fiscale) : recensée, non triée.</t>
  </si>
  <si>
    <t xml:space="preserve">Lire le tri</t>
  </si>
  <si>
    <t xml:space="preserve">Assiette : la matière taxée — les cotisations sociales, les contributions sociales sur les revenus, la masse salariale, le revenu des personnes, l’activité des entreprises, la consommation, la propriété.</t>
  </si>
  <si>
    <t xml:space="preserve">Rendement 2026 : ce que l’État publie, prélèvement par prélèvement. Une case vide ne vaut pas zéro : l’État ne publie pas le rendement de 186 prélèvements sur 420, cotisations sociales et taxes affectées à des organismes pour l’essentiel.</t>
  </si>
  <si>
    <t xml:space="preserve">Siège juridique : l’article de loi qui institue le prélèvement, au texte en vigueur.</t>
  </si>
  <si>
    <t xml:space="preserve">Sources</t>
  </si>
  <si>
    <t xml:space="preserve">Projet de loi de finances pour 2026 : état A et Évaluation des voies et moyens, tome I, annexe 2 (taxes affectées). Projet de loi de finances pour 2027 : annexe des ressources affectées. Fondation IFRAP, recensement des prélèvements obligatoires, La Revue n° 277, avril 2026. Codes et lois en vigueur, base LEGI de la DILA.</t>
  </si>
  <si>
    <t xml:space="preserve">Calculs et tri : Résolution.</t>
  </si>
  <si>
    <t xml:space="preserve">Prélèvement</t>
  </si>
  <si>
    <t xml:space="preserve">Nature</t>
  </si>
  <si>
    <t xml:space="preserve">Assiette</t>
  </si>
  <si>
    <t xml:space="preserve">Sous-catégorie</t>
  </si>
  <si>
    <t xml:space="preserve">Poste du schéma de refonte</t>
  </si>
  <si>
    <t xml:space="preserve">Sort</t>
  </si>
  <si>
    <t xml:space="preserve">Impôt qui le reprend</t>
  </si>
  <si>
    <t xml:space="preserve">Rendement 2026 (M€)</t>
  </si>
  <si>
    <t xml:space="preserve">Bénéficiaire</t>
  </si>
  <si>
    <t xml:space="preserve">Siège juridique</t>
  </si>
  <si>
    <t xml:space="preserve">Cotisation obligatoire des collectivités aux centres de gestion de la fonction publique territoriale</t>
  </si>
  <si>
    <t xml:space="preserve">cotisation sociale</t>
  </si>
  <si>
    <t xml:space="preserve">1. Les cotisations sociales</t>
  </si>
  <si>
    <t xml:space="preserve">Cotisations de sécurité sociale — régime général</t>
  </si>
  <si>
    <t xml:space="preserve">Cotisations sociales à unifier</t>
  </si>
  <si>
    <t xml:space="preserve">Centres de gestion de la fonction publique territoriale ; Comité de gestion des œuvres sociales des personnels hospitaliers (CGOS)</t>
  </si>
  <si>
    <t xml:space="preserve">Code général de la fonction publique, art. L. 452-25</t>
  </si>
  <si>
    <t xml:space="preserve">Cotisation obligatoire des collectivités au Centre national de la fonction publique territoriale</t>
  </si>
  <si>
    <t xml:space="preserve">Centre national de la fonction publique territoriale (CNFPT)</t>
  </si>
  <si>
    <t xml:space="preserve">Code général de la fonction publique, art. L. 451-17</t>
  </si>
  <si>
    <t xml:space="preserve">Contribution des employeurs de main-d'œuvre étrangère permanente</t>
  </si>
  <si>
    <t xml:space="preserve">Art. L. 436-10 du code de l'entrée et du séjour des étrangers et du droit d'asile</t>
  </si>
  <si>
    <t xml:space="preserve">Contribution des employeurs de main-d'œuvre étrangère saisonnière</t>
  </si>
  <si>
    <t xml:space="preserve">Contribution des employeurs de main-d'œuvre étrangère temporaire</t>
  </si>
  <si>
    <t xml:space="preserve">Contribution sur les indemnités de rupture conventionnelle</t>
  </si>
  <si>
    <t xml:space="preserve">contribution sociale</t>
  </si>
  <si>
    <t xml:space="preserve">2. Les contributions sociales sur les revenus</t>
  </si>
  <si>
    <t xml:space="preserve">Contributions sur les indemnités de rupture</t>
  </si>
  <si>
    <t xml:space="preserve">Taxes sur la main d'œuvre</t>
  </si>
  <si>
    <t xml:space="preserve">Fondu dans l’équilibre</t>
  </si>
  <si>
    <t xml:space="preserve">Code de la sécurité sociale, art. L. 137-15</t>
  </si>
  <si>
    <t xml:space="preserve">Cotisation des employeurs</t>
  </si>
  <si>
    <t xml:space="preserve">FNAL - Fonds national d'aide au logement</t>
  </si>
  <si>
    <t xml:space="preserve">Code de la construction et de l'habitation, art. L. 813-4</t>
  </si>
  <si>
    <t xml:space="preserve">Cotisations avantages spécifiques IEG</t>
  </si>
  <si>
    <t xml:space="preserve">Code de la sécurité sociale, art. L. 243-5</t>
  </si>
  <si>
    <t xml:space="preserve">Cotisations salariales — Autres régimes</t>
  </si>
  <si>
    <t xml:space="preserve">Code de la sécurité sociale, art. L. 241-3</t>
  </si>
  <si>
    <t xml:space="preserve">Cotisations salariales — Régime général et FSV</t>
  </si>
  <si>
    <t xml:space="preserve">Cotisations sociales - brutes BdF — Autres régimes</t>
  </si>
  <si>
    <t xml:space="preserve">Contribution sur les indemnités de mise à la retraite</t>
  </si>
  <si>
    <t xml:space="preserve">CNAV</t>
  </si>
  <si>
    <t xml:space="preserve">Code de la sécurité sociale, art. L. 137-12</t>
  </si>
  <si>
    <t xml:space="preserve">Contribution sur les régimes de retraite conditionnant la constitution de droits à prestations à l’achèvement de la carrière du bénéficiaire dans l’entreprise</t>
  </si>
  <si>
    <t xml:space="preserve">Vieillesse et régimes spéciaux</t>
  </si>
  <si>
    <t xml:space="preserve">Code de la sécurité sociale, art. L. 137-11</t>
  </si>
  <si>
    <t xml:space="preserve">Contribution sur les avantages de préretraite d’entreprise</t>
  </si>
  <si>
    <t xml:space="preserve">Code de la sécurité sociale, art. L. 137-10</t>
  </si>
  <si>
    <t xml:space="preserve">Autres cotisations sociales Vieillesse — Régime des salariés agricoles</t>
  </si>
  <si>
    <t xml:space="preserve">Autres cotisations sociales et majorations Vieillesse — Régime spécial des industries électriques et gazières (CNIEG)</t>
  </si>
  <si>
    <t xml:space="preserve">Autres cotisations sociales vieillesse — Régime général et FSV</t>
  </si>
  <si>
    <t xml:space="preserve">Code de la sécurité sociale, art. L. 241-2</t>
  </si>
  <si>
    <t xml:space="preserve">Autres cotisations, majorations et pénalités — Régime spécial des fonctionnaires territoriaux et hospitaliers</t>
  </si>
  <si>
    <t xml:space="preserve">Contributions d'équilibre de l'employeur principal Régime SNCF</t>
  </si>
  <si>
    <t xml:space="preserve">Cotisations Vieillesse salariés — Régime de retraite des fonctionnaires civils et militaires de l'État</t>
  </si>
  <si>
    <t xml:space="preserve">Cotisations Vieillesse salariés — Régime des salariés agricoles</t>
  </si>
  <si>
    <t xml:space="preserve">Cotisations Vieillesse — Régime des salariés agricoles</t>
  </si>
  <si>
    <t xml:space="preserve">Cotisations d'équilibre de l'employeur principal — Régime spécial des fonctionnaires territoriaux et hospitaliers</t>
  </si>
  <si>
    <t xml:space="preserve">Cotisations patronales "vieillesse" non plafonnées Vieillesse — Régime spécial des industries électriques et gazières (CNIEG)</t>
  </si>
  <si>
    <t xml:space="preserve">Cotisations patronales Vieillesse — Caisse autonome nationale de sécurité sociale dans les mines</t>
  </si>
  <si>
    <t xml:space="preserve">Cotisations patronales Vieillesse — Régime spécial des agents de la RATP</t>
  </si>
  <si>
    <t xml:space="preserve">Cotisations patronales brutes Vieillesse — Régime spécial des agents de la SNCF</t>
  </si>
  <si>
    <t xml:space="preserve">Cotisations patronales — Régime de retraite des fonctionnaires civils et militaires de l'État</t>
  </si>
  <si>
    <t xml:space="preserve">Cotisations régime complémentaire</t>
  </si>
  <si>
    <t xml:space="preserve">Cotisations salariales "vieillesse" non plafonnées Vieillesse — Régime spécial des industries électriques et gazières (CNIEG)</t>
  </si>
  <si>
    <t xml:space="preserve">Cotisations salariales "vieillesse" non plafonnées ensemble des risques — Caisse autonome nationale de sécurité sociale dans les mines</t>
  </si>
  <si>
    <t xml:space="preserve">Cotisations salariales Vieillesse — Établissement national des invalides de la marine (ENIM)</t>
  </si>
  <si>
    <t xml:space="preserve">Cotisations salariales brutes Vieillesse — Régime spécial des agents de la SNCF</t>
  </si>
  <si>
    <t xml:space="preserve">Cotisations salariales tous risques — Fonds spécial des pensions des ouvriers des établissements industriels de l'État (FSPOEIE)</t>
  </si>
  <si>
    <t xml:space="preserve">Cotisations salariales — Régime spécial des fonctionnaires territoriaux et hospitaliers</t>
  </si>
  <si>
    <t xml:space="preserve">Cotisations salariales — Régime spécial des industries électriques et gazières (CNIEG)</t>
  </si>
  <si>
    <t xml:space="preserve">Cotisations vieillesse + maladie — Fonds spécial des pensions des ouvriers des établissements industriels de l'État (FSPOEIE)</t>
  </si>
  <si>
    <t xml:space="preserve">Autres assiettes famille — Régime général et FSV</t>
  </si>
  <si>
    <t xml:space="preserve">Maladie, famille, accidents et prévoyance</t>
  </si>
  <si>
    <t xml:space="preserve">Autres cotisations et contributions sociales diverses (maladie) — Régime général et FSV</t>
  </si>
  <si>
    <t xml:space="preserve">Autres cotisations sociales AT-MP — Régime général et FSV</t>
  </si>
  <si>
    <t xml:space="preserve">Autres cotisations sociales maladie (dont assurés volontaires) — Régime général et FSV</t>
  </si>
  <si>
    <t xml:space="preserve">Contribution de l'employeur principal AT-MP — Régime spécial des industries électriques et gazières (CNIEG)</t>
  </si>
  <si>
    <t xml:space="preserve">Cotisation au profit des caisses d’assurances d’accidents agricoles d’Alsace-Moselle</t>
  </si>
  <si>
    <t xml:space="preserve">CAAA - Caisses d'assurances d'accidents agricoles d'Alsace-Moselle</t>
  </si>
  <si>
    <t xml:space="preserve">Code rural et de la pêche maritime, art. L. 761-5</t>
  </si>
  <si>
    <t xml:space="preserve">Cotisations AT-MP salariés — Régime de retraite des fonctionnaires civils et militaires de l'État</t>
  </si>
  <si>
    <t xml:space="preserve">Cotisations AT-MP salariés — Régime des salariés agricoles</t>
  </si>
  <si>
    <t xml:space="preserve">Cotisations AT-MP salariés — Régime général +FSV</t>
  </si>
  <si>
    <t xml:space="preserve">Cotisations Famille salariés — Régime général +FSV</t>
  </si>
  <si>
    <t xml:space="preserve">Cotisations IJ exploitants</t>
  </si>
  <si>
    <t xml:space="preserve">Cotisations Maladie salariés — Régime général +FSV</t>
  </si>
  <si>
    <t xml:space="preserve">Cotisations décès - CIPAV</t>
  </si>
  <si>
    <t xml:space="preserve">Cotisations décès - CNIEG</t>
  </si>
  <si>
    <t xml:space="preserve">Cotisations institutions de prévoyance</t>
  </si>
  <si>
    <t xml:space="preserve">Cotisations invalidité - CIPAV</t>
  </si>
  <si>
    <t xml:space="preserve">Cotisations invalidité - CNIEG</t>
  </si>
  <si>
    <t xml:space="preserve">Cotisations patronales "décès" Vieillesse — Régime spécial des industries électriques et gazières (CNIEG)</t>
  </si>
  <si>
    <t xml:space="preserve">Cotisations patronales "décès", "invalidité" et "AT-MP" Ensemble des risques — Régime spécial des industries électriques et gazières (CNIEG)</t>
  </si>
  <si>
    <t xml:space="preserve">Cotisations patronales non plafonnées AT-MP — Caisse autonome nationale de sécurité sociale dans les mines</t>
  </si>
  <si>
    <t xml:space="preserve">Cotisations patronales non plafonnées Maladie-invalidité — Régime spécial des industries électriques et gazières (CNIEG)</t>
  </si>
  <si>
    <t xml:space="preserve">Cotisations patronales vieillesse — Caisse de retraite et de prévoyance des clercs et employés de notaires</t>
  </si>
  <si>
    <t xml:space="preserve">Cotisations prévoyance des affiliés — Régime spécial des agents de la RATP</t>
  </si>
  <si>
    <t xml:space="preserve">Cotisations prévoyance patronales — Régime spécial des agents de la RATP</t>
  </si>
  <si>
    <t xml:space="preserve">Cotisations sociales AT-MP — Établissement national des invalides de la marine (ENIM)</t>
  </si>
  <si>
    <t xml:space="preserve">Cotisations sociales brutes Vieillesse — Caisse de retraite et de prévoyance des clercs et employés de notaires</t>
  </si>
  <si>
    <t xml:space="preserve">Cotisations sur les émoluments de notaires Vieillesse — Caisse de retraite et de prévoyance des clercs et employés de notaires</t>
  </si>
  <si>
    <t xml:space="preserve">Cotisations vieillesse + maladie — Régime spécial des fonctionnaires territoriaux et hospitaliers</t>
  </si>
  <si>
    <t xml:space="preserve">Autres cotisations sociales Vieillesse — Régime des exploitants agricoles</t>
  </si>
  <si>
    <t xml:space="preserve">Non-salariés et inactifs</t>
  </si>
  <si>
    <t xml:space="preserve">Autres cotisations sociales et majorations Ensemble des risques — Caisse nationale d'assurance vieillesse des professions libérales</t>
  </si>
  <si>
    <t xml:space="preserve">Autres cotisations sociales — Caisse nationale d'assurance vieillesse des professions libérales</t>
  </si>
  <si>
    <t xml:space="preserve">Cotisations Famille non-salariés — Régime général et FSV</t>
  </si>
  <si>
    <t xml:space="preserve">Code de la sécurité sociale, art. L. 131-6</t>
  </si>
  <si>
    <t xml:space="preserve">Cotisations Maladie inactifs — Régime général et FSV</t>
  </si>
  <si>
    <t xml:space="preserve">Cotisations Maladie non-salariés — Régime général et FSV</t>
  </si>
  <si>
    <t xml:space="preserve">Cotisations conjoints collaborateurs Vieillesse — Caisse nationale d'assurance vieillesse des professions libérales</t>
  </si>
  <si>
    <t xml:space="preserve">Cotisations conjoints collaborateurs — Caisse nationale d'assurance vieillesse des professions libérales</t>
  </si>
  <si>
    <t xml:space="preserve">Cotisations sociales - brutes CAVIMAC — autres régimes</t>
  </si>
  <si>
    <t xml:space="preserve">Cotisations sociales - brutes CNBF — autres régimes</t>
  </si>
  <si>
    <t xml:space="preserve">Cotisations sociales non-salariés Vieillesse — Régime des exploitants agricoles</t>
  </si>
  <si>
    <t xml:space="preserve">Cotisations sociales provisionnelles — Caisse nationale d'assurance vieillesse des professions libérales</t>
  </si>
  <si>
    <t xml:space="preserve">Cotisations sociales régularisation — Caisse nationale d'assurance vieillesse des professions libérales</t>
  </si>
  <si>
    <t xml:space="preserve">Cotisations vieillesse non-salariés — Régime des exploitants agricoles</t>
  </si>
  <si>
    <t xml:space="preserve">Cotisations vieillesse non-salariés — Régime général et FSV</t>
  </si>
  <si>
    <t xml:space="preserve">Contribution supplémentaire au financement de l'assurance chômage</t>
  </si>
  <si>
    <t xml:space="preserve">Chômage</t>
  </si>
  <si>
    <t xml:space="preserve">Contributions chômage Unédic</t>
  </si>
  <si>
    <t xml:space="preserve">Autres cotisations et contributions sociales diverses FSV — Régime des salariés agricoles</t>
  </si>
  <si>
    <t xml:space="preserve">Autres cotisations, majorations et pénalités</t>
  </si>
  <si>
    <t xml:space="preserve">Contribution sociale généralisée (CSG)</t>
  </si>
  <si>
    <t xml:space="preserve">Contribution sociale généralisée et CRDS</t>
  </si>
  <si>
    <t xml:space="preserve">Fondu par rattachement</t>
  </si>
  <si>
    <t xml:space="preserve">Impôt sur le revenu</t>
  </si>
  <si>
    <t xml:space="preserve">CNAF ; CNAMTS ; CNAV ; CNSA ; Caisse d'amortissement de la dette sociale (CADES) ; FSV ; UNEDIC</t>
  </si>
  <si>
    <t xml:space="preserve">Code de la sécurité sociale, art. L. 136-1</t>
  </si>
  <si>
    <t xml:space="preserve">Contributions pour le remboursement de la dette sociale (CRDS)</t>
  </si>
  <si>
    <t xml:space="preserve">Caisse d'amortissement de la dette sociale (CADES)</t>
  </si>
  <si>
    <t xml:space="preserve">Code général des impôts, art. 1600-0 G</t>
  </si>
  <si>
    <t xml:space="preserve">Prélèvements de solidarité</t>
  </si>
  <si>
    <t xml:space="preserve">Prélèvements sociaux sur les revenus du capital</t>
  </si>
  <si>
    <t xml:space="preserve">Budget général de l'État</t>
  </si>
  <si>
    <t xml:space="preserve">Art. 235 ter du code général des impôts</t>
  </si>
  <si>
    <t xml:space="preserve">Contributions sociales maladie - Prélèvement social sur les revenus du capital</t>
  </si>
  <si>
    <t xml:space="preserve">Prélèvement social et de solidarité sur les revenus du capital FSV</t>
  </si>
  <si>
    <t xml:space="preserve">Prélèvement social sur les revenus des placements (maladie)</t>
  </si>
  <si>
    <t xml:space="preserve">Prélèvement social sur les revenus du capital CNSA</t>
  </si>
  <si>
    <t xml:space="preserve">Prélèvement social sur les revenus du patrimoine (branche maladie)</t>
  </si>
  <si>
    <t xml:space="preserve">Prélèvement sur les revenus des placements FSV</t>
  </si>
  <si>
    <t xml:space="preserve">Prélèvement sur les revenus du patrimoine FSV</t>
  </si>
  <si>
    <t xml:space="preserve">Contribution solidarité autonomie (CSA)</t>
  </si>
  <si>
    <t xml:space="preserve">Solidarité autonomie</t>
  </si>
  <si>
    <t xml:space="preserve">Forfaits de cotisation</t>
  </si>
  <si>
    <t xml:space="preserve">Maintenu à part</t>
  </si>
  <si>
    <t xml:space="preserve">CNSA</t>
  </si>
  <si>
    <t xml:space="preserve">Code de la sécurité sociale, art. 137-40</t>
  </si>
  <si>
    <t xml:space="preserve">Contribution additionnelle de solidarité autonomie (CASA)</t>
  </si>
  <si>
    <t xml:space="preserve">Code de la sécurité sociale, art. 137-41</t>
  </si>
  <si>
    <t xml:space="preserve">Contributions sur avantages de retraite et de préretraite (branche maladie)</t>
  </si>
  <si>
    <t xml:space="preserve">Contributions sur les revenus de remplacement</t>
  </si>
  <si>
    <t xml:space="preserve">Contributions sur avantages de retraite et de préretraite FSV</t>
  </si>
  <si>
    <t xml:space="preserve">Forfait social</t>
  </si>
  <si>
    <t xml:space="preserve">Épargne salariale et actionnariat</t>
  </si>
  <si>
    <t xml:space="preserve">Contributions patronales et salariales sur les attributions d’options (stock-options) de souscription ou d’achat des actions et sur les attributions gratuites</t>
  </si>
  <si>
    <t xml:space="preserve">CNAF</t>
  </si>
  <si>
    <t xml:space="preserve">Code de la sécurité sociale, art. L. 137-13</t>
  </si>
  <si>
    <t xml:space="preserve">Taxe sur les salaires</t>
  </si>
  <si>
    <t xml:space="preserve">taxe sur la masse salariale</t>
  </si>
  <si>
    <t xml:space="preserve">3. Les taxes sur la masse salariale</t>
  </si>
  <si>
    <t xml:space="preserve">CNAV, CNAF, CNAM et CNSA</t>
  </si>
  <si>
    <t xml:space="preserve">Art. L. 131-8, 1° du code de la sécurité sociale et 231 du code général des impôts</t>
  </si>
  <si>
    <t xml:space="preserve">Contribution unique à la formation professionnelle et à l'alternance</t>
  </si>
  <si>
    <t xml:space="preserve">Formation et apprentissage</t>
  </si>
  <si>
    <t xml:space="preserve">France Compétences</t>
  </si>
  <si>
    <t xml:space="preserve">Code du travail, art. L. 6131-2</t>
  </si>
  <si>
    <t xml:space="preserve">Solde de la taxe d'apprentissage après prise en compte des versements directs des entreprises mentionnés au II de l'article L. 6241-2</t>
  </si>
  <si>
    <t xml:space="preserve">Caisse des dépôts et des consignations</t>
  </si>
  <si>
    <t xml:space="preserve">Code du travail, art. L. 6241-2 II</t>
  </si>
  <si>
    <t xml:space="preserve">PEFPC : CPF CDD (ex-CIF-CDD) : 1% des salaires versés, ou moins en cas d'accord de branche</t>
  </si>
  <si>
    <t xml:space="preserve">Code du travail, art. L. 6331-6</t>
  </si>
  <si>
    <t xml:space="preserve">PEFPC : Participation au financement de la formation des professions non salariées (à l'exception des artisans et des exploitants agricoles) correspondant à 0,25% du montant annuel du plafond de la sécurité sociale</t>
  </si>
  <si>
    <t xml:space="preserve">Art. L. 6331-48, 1° (création) et L. 6331-50 (affectation) du code du travail</t>
  </si>
  <si>
    <t xml:space="preserve">Contribution supplémentaire à l'apprentissage</t>
  </si>
  <si>
    <t xml:space="preserve">Code du travail, art. L. 6242-1</t>
  </si>
  <si>
    <t xml:space="preserve">Contribution spécifique pour le développement de la formation professionnelle initiale et continue dans les métiers des professions du bâtiment et des travaux publics.</t>
  </si>
  <si>
    <t xml:space="preserve">Comité de Concertation et de Coordination de l'Apprentissage du Bâtiment et des Travaux Publics (3CABTP)</t>
  </si>
  <si>
    <t xml:space="preserve">Code du travail, art. L. 6331-35</t>
  </si>
  <si>
    <t xml:space="preserve">PEFPC : Participation au financement de la formation des professions non salariées (artisans) correspondant à 0,29% du montant annuel du plafond de la sécurité sociale, dont micro entrepreneurs</t>
  </si>
  <si>
    <t xml:space="preserve">Art. L. 6331-48 2° et L. 6331-50 du code du travail</t>
  </si>
  <si>
    <t xml:space="preserve">PEFPC : Participation au financement de la formation des intermittents correspondant au minimum à 2% des rémunérations versées</t>
  </si>
  <si>
    <t xml:space="preserve">Code du travail, art. L. 6331-55</t>
  </si>
  <si>
    <t xml:space="preserve">Contribution conventionnelle à la formation pour les entreprises de travail temporaire</t>
  </si>
  <si>
    <t xml:space="preserve">Fonds pour l'emploi du travail temporaire</t>
  </si>
  <si>
    <t xml:space="preserve">Code du travail, art. L. 6331-69</t>
  </si>
  <si>
    <t xml:space="preserve">PEFPC : Participation au financement de la formation des professions non salariées (Entreprises du Vivant, agriculture) correspondant à 0,30 % des revenus professionnels ou de l'assiette forfaitaire déterminés à l'article L. 731-16 du code rural et de la pêche maritime</t>
  </si>
  <si>
    <t xml:space="preserve">Code du travail, art. L. 6331-53</t>
  </si>
  <si>
    <t xml:space="preserve">Taxe pour le développement de la formation professionnelle dans les métiers de la réparation de l'automobile, du cycle et du motocycle</t>
  </si>
  <si>
    <t xml:space="preserve">ANFA - Association nationale pour la formation automobile</t>
  </si>
  <si>
    <t xml:space="preserve">Art. 1609 sexvicies I du code général des impôts</t>
  </si>
  <si>
    <t xml:space="preserve">PEFPC : Participation au financement de la formation des professions non salariées (Particuliers employeurs) correspondant au minimum à 0,15% au du montant annuel du plafond de la SS</t>
  </si>
  <si>
    <t xml:space="preserve">Code du travail, art. L. 6331-57</t>
  </si>
  <si>
    <t xml:space="preserve">PEFPC : Participation au financement de la formation des professions non salariées (Artistes auteurs) correspondant au minimum à 0,1% au du montant annuel du plafond de la SS</t>
  </si>
  <si>
    <t xml:space="preserve">Art. L. 6331-65 2° et L. 6331-68 du code du travail</t>
  </si>
  <si>
    <t xml:space="preserve">PEFPC : Participation au financement de la formation des professions non salariées (Peche et culture) correspondant au minimum à 0,15% au du montant annuel du plafond de la SS</t>
  </si>
  <si>
    <t xml:space="preserve">Contribution spécifique à la formation professionnelle pour Saint Pierre et Miquelon</t>
  </si>
  <si>
    <t xml:space="preserve">Code du travail, art. L. 6523-1-5</t>
  </si>
  <si>
    <t xml:space="preserve">Contribution au fonds d'assurance formation des chefs d'entreprise inscrite au répertoire des métiers</t>
  </si>
  <si>
    <t xml:space="preserve">Code du travail, art. L. 6331-48</t>
  </si>
  <si>
    <t xml:space="preserve">Financement des congés individuels de formation des salariés sous contrats à durée déterminée CIF-CDD</t>
  </si>
  <si>
    <t xml:space="preserve">Art. L. 6331-6 du code du travail</t>
  </si>
  <si>
    <t xml:space="preserve">Participation des employeurs à l'effort de construction (PEEC)</t>
  </si>
  <si>
    <t xml:space="preserve">Logement des salariés</t>
  </si>
  <si>
    <t xml:space="preserve">Action Logement Services</t>
  </si>
  <si>
    <t xml:space="preserve">Code de la construction et de l'habitation, art. L. 313-1</t>
  </si>
  <si>
    <t xml:space="preserve">Prélèvement sur la participation des employeurs à l'effort de construction (PEEC)</t>
  </si>
  <si>
    <t xml:space="preserve">ANCOLS - Agence nationale de contrôle du logement social</t>
  </si>
  <si>
    <t xml:space="preserve">Code de la construction et de l'habitation, art. L. 313-3</t>
  </si>
  <si>
    <t xml:space="preserve">Versement transport dû par les entreprises de plus de 11 salariés implantées en province – part IdFM</t>
  </si>
  <si>
    <t xml:space="preserve">Versement mobilité</t>
  </si>
  <si>
    <t xml:space="preserve">IdFM - Île-de-France Mobilités</t>
  </si>
  <si>
    <t xml:space="preserve">Code général des collectivités territoriales, art. L. 2333-64</t>
  </si>
  <si>
    <t xml:space="preserve">Versement transport dû par les entreprises de plus de 11 salariés implantées en province</t>
  </si>
  <si>
    <t xml:space="preserve">Autorités organisatrices des transports urbains</t>
  </si>
  <si>
    <t xml:space="preserve">Contribution annuelle au fonds de développement pour l'insertion professionnelle des handicapés (FIPH)</t>
  </si>
  <si>
    <t xml:space="preserve">Handicap, dialogue social et publics spécifiques</t>
  </si>
  <si>
    <t xml:space="preserve">Association de gestion du fonds de développement pour l'insertion professionnelle des handicapés (AGEFIPH)</t>
  </si>
  <si>
    <t xml:space="preserve">Loi n° 87-517 du 10 juillet 1987 en faveur de l’emploi des travailleurs handicapés, art. L. 5212-1, L. 5212-10, L. 5214-1 et L. 5214-3 du code du travail</t>
  </si>
  <si>
    <t xml:space="preserve">Cotisation BTP intempéries</t>
  </si>
  <si>
    <t xml:space="preserve">UCF CIBTP - Union des caisses de France</t>
  </si>
  <si>
    <t xml:space="preserve">Art. L. 5424-15, D. 5424-7, D. 5424-29 et D. 5424-36 à D. 5424-41 du code du travail (création) et art. R. 4643-35 à 42 dont le R. 4643-40 du code du travail (affectation)</t>
  </si>
  <si>
    <t xml:space="preserve">Contribution patronale au dialogue social (0,016%)</t>
  </si>
  <si>
    <t xml:space="preserve">AGFPN - Association de Gestion du Fonds Paritaire National</t>
  </si>
  <si>
    <t xml:space="preserve">Code du travail, art. L. 2135-9</t>
  </si>
  <si>
    <t xml:space="preserve">Contribution annuelle au fonds de développement pour l'insertion professionnelle des personnes handicapées dans la fonction publique (FIPHFP)</t>
  </si>
  <si>
    <t xml:space="preserve">Fonds pour l'insertion des personnes handicapées dans la fonction publique (FIPHFP)</t>
  </si>
  <si>
    <t xml:space="preserve">Code général de la fonction publique, art. L. 351-12</t>
  </si>
  <si>
    <t xml:space="preserve">Contribution aux unions régionales des professionnels de santé (CURPS)</t>
  </si>
  <si>
    <t xml:space="preserve">Code de la santé publique, art. L. 4031-3</t>
  </si>
  <si>
    <t xml:space="preserve">Contribution des diffuseurs d'œuvres au financement de la protection sociale des artistes auteurs</t>
  </si>
  <si>
    <t xml:space="preserve">Code de la sécurité sociale, art. L. 382-4</t>
  </si>
  <si>
    <t xml:space="preserve">Cotisations médecine du travail</t>
  </si>
  <si>
    <t xml:space="preserve">Contribution des employeurs à l'association pour la gestion du régime d'assurance des créances des salariés (AGS)</t>
  </si>
  <si>
    <t xml:space="preserve">Garantie des salaires</t>
  </si>
  <si>
    <t xml:space="preserve">AGS - Association pour la gestion du régime d'assurance des créances des salariés</t>
  </si>
  <si>
    <t xml:space="preserve">Code du travail, art. L. 143-11-6</t>
  </si>
  <si>
    <t xml:space="preserve">Impôt net sur le revenu</t>
  </si>
  <si>
    <t xml:space="preserve">impôt ou taxe</t>
  </si>
  <si>
    <t xml:space="preserve">4. Le revenu des personnes</t>
  </si>
  <si>
    <t xml:space="preserve">Traitements, salaires et pensions</t>
  </si>
  <si>
    <t xml:space="preserve">Ir net</t>
  </si>
  <si>
    <t xml:space="preserve">Conservé et absorbe</t>
  </si>
  <si>
    <t xml:space="preserve">État (budget général)</t>
  </si>
  <si>
    <t xml:space="preserve">Code général des impôts, art. 1 A</t>
  </si>
  <si>
    <t xml:space="preserve">Autres impôts directs perçus par voie d'émission de rôles</t>
  </si>
  <si>
    <t xml:space="preserve">CDHR</t>
  </si>
  <si>
    <t xml:space="preserve">Code général des impôts, art. 224</t>
  </si>
  <si>
    <t xml:space="preserve">Retenues à la source sur certains bénéfices non commerciaux et de l'impôt sur le revenu</t>
  </si>
  <si>
    <t xml:space="preserve">Code général des impôts, art. 182 B</t>
  </si>
  <si>
    <t xml:space="preserve">Retenues à la source et prélèvements sur les revenus de capitaux mobiliers et le prélèvement sur les bons anonymes</t>
  </si>
  <si>
    <t xml:space="preserve">Revenus du capital</t>
  </si>
  <si>
    <t xml:space="preserve">Code général des impôts, art. 119 bis</t>
  </si>
  <si>
    <t xml:space="preserve">Taxe sur les transactions financières - fraction affectée de la ressource État</t>
  </si>
  <si>
    <t xml:space="preserve">7. La propriété et les droits d'usage</t>
  </si>
  <si>
    <t xml:space="preserve">Mutations et transmissions</t>
  </si>
  <si>
    <t xml:space="preserve">Autres taxes sur les produits</t>
  </si>
  <si>
    <t xml:space="preserve">Taxe sur la valeur ajoutée</t>
  </si>
  <si>
    <t xml:space="preserve">FSD - Fonds de solidarité pour le développement géré par l'Agence française de développement (AFD) - suivi MEAE ; FSD - Fonds de solidarité pour le développement géré par l'Agence française de développement (AFD) - suivi MEFI</t>
  </si>
  <si>
    <t xml:space="preserve">Code général des impôts, art. 235 ter ZD</t>
  </si>
  <si>
    <t xml:space="preserve">Taxe spéciale due en cas de non-respect de l'engagement de conserver pendant 5 ans les parts de FCPR ou FCPI</t>
  </si>
  <si>
    <t xml:space="preserve">Art. 1763 B du code général des impôts</t>
  </si>
  <si>
    <t xml:space="preserve">Taxe sur les ordres annulés dans le cadre d'opérations à haute fréquence</t>
  </si>
  <si>
    <t xml:space="preserve">Code général des impôts, art. 235 ter ZD bis</t>
  </si>
  <si>
    <t xml:space="preserve">Contribution annuelle sur les revenus locatifs</t>
  </si>
  <si>
    <t xml:space="preserve">Revenus fonciers</t>
  </si>
  <si>
    <t xml:space="preserve">Code général des impôts, art. 234 nonies</t>
  </si>
  <si>
    <t xml:space="preserve">Taxe sur la cession à titre onéreux des terrains nus ou des droits relatifs à des terrains nus rendus constructibles du fait de leur classement</t>
  </si>
  <si>
    <t xml:space="preserve">Plus-values des particuliers</t>
  </si>
  <si>
    <t xml:space="preserve">ASP - Agence de services et de paiement</t>
  </si>
  <si>
    <t xml:space="preserve">Code général des impôts, art. 1605 nonies</t>
  </si>
  <si>
    <t xml:space="preserve">Exit tax</t>
  </si>
  <si>
    <t xml:space="preserve">Code général des impôts, art. 167 bis</t>
  </si>
  <si>
    <t xml:space="preserve">Taxe sur les plus-values immobilières (PVI) autres que terrains à bâtir</t>
  </si>
  <si>
    <t xml:space="preserve">Code général des impôts, art. 1609 nonies G</t>
  </si>
  <si>
    <t xml:space="preserve">Impôt sur les sociétés</t>
  </si>
  <si>
    <t xml:space="preserve">5. L'activité des entreprises</t>
  </si>
  <si>
    <t xml:space="preserve">Bénéfice des entreprises</t>
  </si>
  <si>
    <t xml:space="preserve">Is net</t>
  </si>
  <si>
    <t xml:space="preserve">Code général des impôts, art. 205</t>
  </si>
  <si>
    <t xml:space="preserve">Contribution sociale de solidarité des sociétés (C3S)</t>
  </si>
  <si>
    <t xml:space="preserve">Taxes sur chiffre d'affaires et bénéfices</t>
  </si>
  <si>
    <t xml:space="preserve">Code de la sécurité sociale, art. L. 137-30</t>
  </si>
  <si>
    <t xml:space="preserve">Contribution exceptionnelle sur les bénéfices des entreprises</t>
  </si>
  <si>
    <t xml:space="preserve">Art. 48 de la loi n° 2025-127 du 14 février 2025</t>
  </si>
  <si>
    <t xml:space="preserve">Contribution sociale nette sur les bénéfices des sociétés</t>
  </si>
  <si>
    <t xml:space="preserve">Code général des impôts, art. 235 ter ZC</t>
  </si>
  <si>
    <t xml:space="preserve">Transposition de la directive UE sur la taxation minimale des multinationales</t>
  </si>
  <si>
    <t xml:space="preserve">Code général des impôts, art. 223 VJ</t>
  </si>
  <si>
    <t xml:space="preserve">Contribution de la Caisse des dépôts et consignations représentative de l'impôt sur les sociétés</t>
  </si>
  <si>
    <t xml:space="preserve">Art. L. 518-16 du code monétaire et financier</t>
  </si>
  <si>
    <t xml:space="preserve">Taxe sur les rachats d'actions</t>
  </si>
  <si>
    <t xml:space="preserve">Art. 235 ter XB du code général des impôts</t>
  </si>
  <si>
    <t xml:space="preserve">Taxe sur les excédents de provisions des entreprises d'assurance de dommages</t>
  </si>
  <si>
    <t xml:space="preserve">Code général des impôts, art. 235 ter X</t>
  </si>
  <si>
    <t xml:space="preserve">Taxe sur l'exploitation des infrastructures de transport de longue distance (TEITLD)</t>
  </si>
  <si>
    <t xml:space="preserve">Chiffre d'affaires</t>
  </si>
  <si>
    <t xml:space="preserve">AFITF - Agence de financement des infrastructures de transport de France ; Départements, ville de Paris, département de Mayotte, métropole de Lyon, collectivité territoriale de Guyane, collectivité territoriale de Martinique, collectivité de Corse et collectivité européenne d’Alsace ; Etablissements publics de coopération intercommunale à fiscalité propre et communes n'appartenant à aucun établissement public de coopération intercommunale à fiscalité propre</t>
  </si>
  <si>
    <t xml:space="preserve">Code des impositions sur les biens et services, art. L. 425-1</t>
  </si>
  <si>
    <t xml:space="preserve">Contribution sur le chiffre d'affaires des entreprises exploitant une ou plusieurs spécialités pharmaceutiques</t>
  </si>
  <si>
    <t xml:space="preserve">CNAMTS</t>
  </si>
  <si>
    <t xml:space="preserve">Code de la sécurité sociale, art. L. 245-6</t>
  </si>
  <si>
    <t xml:space="preserve">Contribution due par les laboratoires et les grossistes répartiteurs sur les ventes en gros aux officines pharmaceutiques</t>
  </si>
  <si>
    <t xml:space="preserve">Code de la sécurité sociale, art. L. 138-1</t>
  </si>
  <si>
    <t xml:space="preserve">Contribution due par les entreprises fabriquant ou exploitant des dispositifs médicaux sur leurs dépenses de publicité</t>
  </si>
  <si>
    <t xml:space="preserve">Code de la sécurité sociale, art. L. 245-5-1</t>
  </si>
  <si>
    <t xml:space="preserve">Contribution à la charge des entreprises assurant l'exploitation, l'importation parallèle ou la distribution parallèle d'une ou de plusieurs spécialités pharmaceutiques</t>
  </si>
  <si>
    <t xml:space="preserve">Code de la sécurité sociale, art. L. 138-10</t>
  </si>
  <si>
    <t xml:space="preserve">Contribution à la charge des exploitants d'un ou plusieurs produits ou prestations</t>
  </si>
  <si>
    <t xml:space="preserve">Contributions à la charge des fabricants ou distributeurs de dispositifs médicaux, tissus et cellules, produits de santé autres que les médicaments et prestations associées</t>
  </si>
  <si>
    <t xml:space="preserve">Taxe sur le chiffre d'affaires des exploitants agricoles</t>
  </si>
  <si>
    <t xml:space="preserve">Code général des impôts, art. 302 bis MB</t>
  </si>
  <si>
    <t xml:space="preserve">CVAE</t>
  </si>
  <si>
    <t xml:space="preserve">Valeur ajoutée</t>
  </si>
  <si>
    <t xml:space="preserve">Autres taxes sur les entreprises</t>
  </si>
  <si>
    <t xml:space="preserve">Code général des impôts, art. 1586 ter</t>
  </si>
  <si>
    <t xml:space="preserve">TA-CVAE - Taxe additionnelle à la cotisation sur la valeur ajoutée des entreprises pour frais de chambres de commerce et d'industrie de région</t>
  </si>
  <si>
    <t xml:space="preserve">CCI France</t>
  </si>
  <si>
    <t xml:space="preserve">Art. 1600 (III) du code général des impôts</t>
  </si>
  <si>
    <t xml:space="preserve">Taxe sur les installations nucléaires de base relevant du secteur énergétique et assimilées, tarif de base (TINB-E, TA)</t>
  </si>
  <si>
    <t xml:space="preserve">Équipements, installations et réseaux</t>
  </si>
  <si>
    <t xml:space="preserve">CEA - Commissariat à l'énergie atomique et aux énergies alternatives</t>
  </si>
  <si>
    <t xml:space="preserve">Code des impositions sur les biens et services, art. L. 322-39</t>
  </si>
  <si>
    <t xml:space="preserve">Imposition forfaitaire annuelle sur les pylônes</t>
  </si>
  <si>
    <t xml:space="preserve">Communes</t>
  </si>
  <si>
    <t xml:space="preserve">Code général des impôts, art. 1519 A</t>
  </si>
  <si>
    <t xml:space="preserve">Taxe sur les installations nucléaires de base relevant du secteur énergétique et assimilées, tarif de conception (TINB-E, TC)</t>
  </si>
  <si>
    <t xml:space="preserve">ANDRA - Agence nationale pour la gestion des déchets radioactifs</t>
  </si>
  <si>
    <t xml:space="preserve">Imposition forfaitaire sur le matériel roulant circulant sur le réseau de transport ferroviaire et guidé géré par la RATP - IFER-STIF RATP</t>
  </si>
  <si>
    <t xml:space="preserve">SGP - Société des grands projets</t>
  </si>
  <si>
    <t xml:space="preserve">Code général des impôts, art. 1599 quater A bis</t>
  </si>
  <si>
    <t xml:space="preserve">Taxe sur les installations nucléaires de base relevant du secteur énergétique et assimilées, tarif de recherche (TINB-E, TR)</t>
  </si>
  <si>
    <t xml:space="preserve">Taxe sur les installations nucléaires de base relevant du secteur énergétique et assimilées, tarif d'accompagnement (TINB-E, TA)</t>
  </si>
  <si>
    <t xml:space="preserve">Groupements d'intérêt public "Objectif Meuse" et "Haute-Marne" et Communes concernées</t>
  </si>
  <si>
    <t xml:space="preserve">Redevances communale et départementale des mines</t>
  </si>
  <si>
    <t xml:space="preserve">Communes ou EPCI (établissements publics de coopération intercommunale) à fiscalité propre et Départements - part communale ; Communes ou EPCI (établissements publics de coopération intercommunale) à fiscalité propre et Départements - part départementale ; Communes ou EPCI (établissements publics de coopération intercommunale) à fiscalité propre et Départements - part intercommunale</t>
  </si>
  <si>
    <t xml:space="preserve">Code général des impôts, art. 1519</t>
  </si>
  <si>
    <t xml:space="preserve">Taxe sur les installations nucléaires de base relevant du secteur énergétique et assimilées, tarif de stockage (TINB-E, TC)</t>
  </si>
  <si>
    <t xml:space="preserve">Communes et EPCI (établissements publics de coopération intercommunale) situés dans un rayon maximal autour de l'accès principal aux installations de stockage</t>
  </si>
  <si>
    <t xml:space="preserve">Art. L322-39, L. 433-16, 2° du code des impositions sur les biens et services (création) et L. 542-10-2 du code de l'environnement (affectation)</t>
  </si>
  <si>
    <t xml:space="preserve">Taxe due par les concessionnaires de mines d'or, les amodiataires des concessions de mines d'or et les titulaires de permis et d'autorisations d'exploitation de mines d'or exploitées en Guyane (taxe additionnelle aurifère)</t>
  </si>
  <si>
    <t xml:space="preserve">Région de la Guyane</t>
  </si>
  <si>
    <t xml:space="preserve">Art. 1599 quinquies B du code général de l'impôt</t>
  </si>
  <si>
    <t xml:space="preserve">Imposition forfaitaire sur les entreprises de réseaux</t>
  </si>
  <si>
    <t xml:space="preserve">Code général des impôts, art. 1635-0 quinquies</t>
  </si>
  <si>
    <t xml:space="preserve">Contribution annuelle au profit de l'Institut de radioprotection et de sûreté nucléaire</t>
  </si>
  <si>
    <t xml:space="preserve">IRSN - Institut de radioprotection et de sûreté nucléaire</t>
  </si>
  <si>
    <t xml:space="preserve">Art. 96 de la loi n° 2010-1658 du 29 décembre 2010 de finances rectificative pour 2010</t>
  </si>
  <si>
    <t xml:space="preserve">Contribution emballage liée à la responsabilité élargie du producteur</t>
  </si>
  <si>
    <t xml:space="preserve">Code de l'environnement, art. L. 541-10-1</t>
  </si>
  <si>
    <t xml:space="preserve">Cotisation interprofessionnelle étendue Équarrissage</t>
  </si>
  <si>
    <t xml:space="preserve">Art. L. 632-6 du code rural et de la pêche maritime</t>
  </si>
  <si>
    <t xml:space="preserve">Imposition forfaitaire sur les centrales de production d'énergie électrique d'origine photovoltaïque ou hydraulique</t>
  </si>
  <si>
    <t xml:space="preserve">Code général des impôts, art. 1519 F</t>
  </si>
  <si>
    <t xml:space="preserve">Imposition forfaitaire sur les réseaux de gaz naturel et canalisations d'hydrocarbures</t>
  </si>
  <si>
    <t xml:space="preserve">Code général des impôts, art. 1519 HA</t>
  </si>
  <si>
    <t xml:space="preserve">Taxe sur l'exploration d'hydrocarbures</t>
  </si>
  <si>
    <t xml:space="preserve">Code général des impôts, art. 1590</t>
  </si>
  <si>
    <t xml:space="preserve">Taxe sur les entreprises ayant bénéficié de quotas d'émission de gaz à effet de serre</t>
  </si>
  <si>
    <t xml:space="preserve">Art. 18 de la loi n° 2011-1977 du 28 décembre 2011</t>
  </si>
  <si>
    <t xml:space="preserve">Taxe sur les installations nucléaires de base concourant à la gestion des substances radioactives</t>
  </si>
  <si>
    <t xml:space="preserve">Art. L. 433-8 du code des impositions sur les biens et services</t>
  </si>
  <si>
    <t xml:space="preserve">Contribution due par les laboratoires sur leurs dépenses de publicité</t>
  </si>
  <si>
    <t xml:space="preserve">Dépenses des entreprises</t>
  </si>
  <si>
    <t xml:space="preserve">Code de la sécurité sociale, art. L. 245-1</t>
  </si>
  <si>
    <t xml:space="preserve">Cotisation versée par les organismes HLM et les SEM</t>
  </si>
  <si>
    <t xml:space="preserve">Bailleurs sociaux</t>
  </si>
  <si>
    <t xml:space="preserve">CGLLS - Caisse de garantie du logement locatif social</t>
  </si>
  <si>
    <t xml:space="preserve">Code de la construction et de l'habitation, art. L. 452-4</t>
  </si>
  <si>
    <t xml:space="preserve">Cotisation additionnelle versée par les organismes HLM et les SEM</t>
  </si>
  <si>
    <t xml:space="preserve">Code de la construction et de l'habitation, art. L. 452-4-1</t>
  </si>
  <si>
    <t xml:space="preserve">Cotisation versée par les organismes HLM</t>
  </si>
  <si>
    <t xml:space="preserve">Art. L. 342-21 2° du code de la construction et de l’habitation</t>
  </si>
  <si>
    <t xml:space="preserve">Taxe générale sur les activités polluantes</t>
  </si>
  <si>
    <t xml:space="preserve">Autres prélèvements sur les entreprises</t>
  </si>
  <si>
    <t xml:space="preserve">Taxe pollution</t>
  </si>
  <si>
    <t xml:space="preserve">Code des douanes, art. 266 sexies</t>
  </si>
  <si>
    <t xml:space="preserve">Taxes annuelles sur les émissions de CO2 et les émissions de polluants des véhicules de tourisme affectés à une activité économique (TAVTAE - CO2 et TAVTAE - polluants)</t>
  </si>
  <si>
    <t xml:space="preserve">Véhicules</t>
  </si>
  <si>
    <t xml:space="preserve">Code des impositions sur les biens et services, art. L. 421-93</t>
  </si>
  <si>
    <t xml:space="preserve">Taxe spéciale sur certains véhicules routiers</t>
  </si>
  <si>
    <t xml:space="preserve">Art. L. 421-94 (2°) du code des impositions sur les biens et services</t>
  </si>
  <si>
    <t xml:space="preserve">Taxe sur les installations de production d'électricité utilisant l'énergie mécanique du vent situées dans les eaux intérieures ou la mer territoriale</t>
  </si>
  <si>
    <t xml:space="preserve">Comité national des pêches maritimes et des élevages marins ; Comités départementaux et interdépartementaux des pêches maritimes et des élevages marins ; Comités régionaux des pêches maritimes et des élevages marins ; OFB - Office français de la biodiversité ; Organismes de secours et de sauvetage en mer agréés (art. L742-9 code de la sécurité intérieure)</t>
  </si>
  <si>
    <t xml:space="preserve">Code général des impôts, art. 1519 B</t>
  </si>
  <si>
    <t xml:space="preserve">Contribution forfaitaire annuelle à la charge des professionnels de santé</t>
  </si>
  <si>
    <t xml:space="preserve">CCR - Caisse centrale de réassurance</t>
  </si>
  <si>
    <t xml:space="preserve">Art. L. 426-1 du code des assurances</t>
  </si>
  <si>
    <t xml:space="preserve">Contribution forfaitaire des organismes assureurs et contribution forfaitaire des organismes participant à la gestion du régime prévu par la loi n° 2001-1128 du 30 novembre 2001</t>
  </si>
  <si>
    <t xml:space="preserve">CCMSA</t>
  </si>
  <si>
    <t xml:space="preserve">Code général des impôts, art. 1622</t>
  </si>
  <si>
    <t xml:space="preserve">Contribution au fonds de garantie des dommages consécutifs à des actes de prévention, de diagnostic ou de soins dispensés par des professionnels de santé</t>
  </si>
  <si>
    <t xml:space="preserve">Code de la santé publique, art. L. 1142-24-17</t>
  </si>
  <si>
    <t xml:space="preserve">Contributions sociales maladie - Contribution UNOCAM et autres</t>
  </si>
  <si>
    <t xml:space="preserve">Taxe annuelle due par les laboratoires de biologie médicale</t>
  </si>
  <si>
    <t xml:space="preserve">Taxe pour le financement du fonds de soutien aux collectivités territoriales ayant contracté des produits structurés</t>
  </si>
  <si>
    <t xml:space="preserve">Code général des impôts, art. 235 ter ZE bis</t>
  </si>
  <si>
    <t xml:space="preserve">Taxes sur l'affectation des véhicules à des fins économiques, taxe annuelle sur les véhicules lourds de transport de marchandises</t>
  </si>
  <si>
    <t xml:space="preserve">Code des impositions sur les biens et services, art. L. 421-94</t>
  </si>
  <si>
    <t xml:space="preserve">TVA nette</t>
  </si>
  <si>
    <t xml:space="preserve">6. La consommation</t>
  </si>
  <si>
    <t xml:space="preserve">Biens et services</t>
  </si>
  <si>
    <t xml:space="preserve">Tva</t>
  </si>
  <si>
    <t xml:space="preserve">CNAM et ACOSS</t>
  </si>
  <si>
    <t xml:space="preserve">Code général des impôts, art. 256</t>
  </si>
  <si>
    <t xml:space="preserve">Taxe de solidarité additionnelle (TSA)</t>
  </si>
  <si>
    <t xml:space="preserve">Assurances</t>
  </si>
  <si>
    <t xml:space="preserve">Code de la sécurité sociale, art. L. 862-4</t>
  </si>
  <si>
    <t xml:space="preserve">Contribution tarifaire d'acheminement (CTA)</t>
  </si>
  <si>
    <t xml:space="preserve">Caisse nationale de retraite des industries électriques et gazières</t>
  </si>
  <si>
    <t xml:space="preserve">Art. 18 de la loi n°2004-803 du 9 août 2004 relative au service public de l’électricité et du gaz et aux entreprises électriques et gazières</t>
  </si>
  <si>
    <t xml:space="preserve">Taxe "petit colis"</t>
  </si>
  <si>
    <t xml:space="preserve">Taxe sur les biens des industries de la fonderie (TBIF), taxe sur les biens des industries de la soudure (TBIS), taxe sur les biens des industries aérauliques et thermique (TBIAT), taxe sur les biens des industries de la construction métallique (TBICC) et taxe sur les biens des industries mécaniques (TBIC)</t>
  </si>
  <si>
    <t xml:space="preserve">CTI de l'Industrie : Centre technique des industries mécaniques (CETIM), Centre technique industriel de la construction métallique (CTICM), Centre technique des industries aérauliques et thermiques (CETIAT)</t>
  </si>
  <si>
    <t xml:space="preserve">Art. L. 471-1 et L. 471-2, 11° à 15° du code des impositions sur les biens et services (création) et art. L. 521-8-1, 7°, 8° et 9°, b à d du code de la recherche (affectation)</t>
  </si>
  <si>
    <t xml:space="preserve">Taxe sur les biens des industries de l'horlogerie, de la bijouterie-joaillerie, de l'orfèvrerie et des arts de la table (TBIHBJOAT)</t>
  </si>
  <si>
    <t xml:space="preserve">Comité Francéclat - Comité professionnel de développement de l'horlogerie, de la bijouterie, de la joaillerie, de l'orfèvrerie et des arts de la table</t>
  </si>
  <si>
    <t xml:space="preserve">Art. L. 471-1 et L. 471-2, 1° du code des impositions sur les biens et services (création) et art. 5-1, 1° de la loi n° 78-654 du 22 juin 1978 concernant les comités professionnels de développement économique (affectation)</t>
  </si>
  <si>
    <t xml:space="preserve">Contribution annuelle acquittée par les personnes inscrites comme commissaires aux comptes, et droit fixe sur chaque rapport de certification des comptes, et contribution de la compagnie nationale des commissaires aux comptes</t>
  </si>
  <si>
    <t xml:space="preserve">H2A - Haute autorité de l’audit</t>
  </si>
  <si>
    <t xml:space="preserve">Code de commerce, art. L. 820-10</t>
  </si>
  <si>
    <t xml:space="preserve">Taxe sur les biens des industries du cuir, de la chaussure et de la maroquinerie (TBICCM)</t>
  </si>
  <si>
    <t xml:space="preserve">CTC - Comité professionnel de développement Cuir, Chaussure, Maroquinerie</t>
  </si>
  <si>
    <t xml:space="preserve">Art. L. 471-1 et L. 471-2, 2° du code des impositions sur les biens et services (création) et art. 5-1, 2° de la loi n° 78-654 du 22 juin 1978 concernant les comités professionnels de développement économique (affectation)</t>
  </si>
  <si>
    <t xml:space="preserve">Taxe annuelle sur la vente des produits phytopharmaceutiques</t>
  </si>
  <si>
    <t xml:space="preserve">ANSéS - Agence nationale de sécurité sanitaire, de l'alimentation, de l'environnement et du travail ; CCMSA</t>
  </si>
  <si>
    <t xml:space="preserve">Art. L. 253-8-2-VI du code rural et de la pêche maritime ; Art. L. 253-8-2 VI du code rural et de la pêche maritime</t>
  </si>
  <si>
    <t xml:space="preserve">Taxe sur les biens des industries de l'ameublement (TBIA) et taxe sur les biens des industries du bois (TBIB)</t>
  </si>
  <si>
    <t xml:space="preserve">CTI de la filière Bois - Comité professionnel de développement des industries françaises de l'ameublement et du bois (CODIFAB); Institut technologique FCBA (Filière cellulose, bois, ameublement); Centre technique de la mécanique (CETIM)</t>
  </si>
  <si>
    <t xml:space="preserve">Art. L. 471-1 et L. 471-2, 4° et 5° du code des impositions sur les biens et services (création) et art. L. 521-8-1, 1° et 9°, a du code de la recherche (affectation CTI) et art. 5-1, 4° de la loi n° 78-654 du 22 juin 1978 concernant les comités professionnels de développement économique (affectation CPDE)</t>
  </si>
  <si>
    <t xml:space="preserve">Taxe sur les biens des industries du béton (TBIB), taxe sur les biens des industries des matériaux de construction en terre cuite (TBIMCT) et taxe sur les biens des industries des roches ornementales et de construction (TBIROC)</t>
  </si>
  <si>
    <t xml:space="preserve">CTI des matériaux de construction : Centre d'études et de recherches de l'industrie du béton (CERIB); Centre technique de matériaux naturels de construction (CTMNC)</t>
  </si>
  <si>
    <t xml:space="preserve">Art. L. 471-1 et L. 471-2, 6° à 8° du code des impositions sur les biens et services (création) et art. L. 521-8-1, 2° et 3° du code de la recherche (affectation)</t>
  </si>
  <si>
    <t xml:space="preserve">Taxe sur les biens des industries de l'habillement (TBIH)</t>
  </si>
  <si>
    <t xml:space="preserve">DEFI - Comité de développement et de promotion de l'habillement, IFTH - Institut Français du Textile et de l'Habillement</t>
  </si>
  <si>
    <t xml:space="preserve">Art. L. 471-1 et L. 471-2, 3° du code des impositions sur les biens et services (création) et art. L. 521-8-1, 11° (affectation CTI) et art. 5-1, 3° de la loi n° 78-654 du 22 juin 1978 concernant les comités professionnels de développement économique (affectation CPDE)</t>
  </si>
  <si>
    <t xml:space="preserve">Taxe sur le biens des industries de la plasturgie et des composites (TBIPC)</t>
  </si>
  <si>
    <t xml:space="preserve">Centre technique industriel de la plasturgie et des composites (CTIPC)</t>
  </si>
  <si>
    <t xml:space="preserve">Art. L. 471-1 et L. 471-2, 10° du code des impositions sur les biens et services (création) et art. L. 521-8-1, 5° du code de la recherche (affectation)</t>
  </si>
  <si>
    <t xml:space="preserve">Droit sur les produits bénéficiant d'une appellation d'origine ou d'une indication géographique protégée (INAO)</t>
  </si>
  <si>
    <t xml:space="preserve">INAO - Institut national de l'origine et de la qualité</t>
  </si>
  <si>
    <t xml:space="preserve">Code rural et de la pêche maritime, art. L. 642-13</t>
  </si>
  <si>
    <t xml:space="preserve">Taxe pour le développement de l'industrie de la conservation des produits agricoles (CTCPA)</t>
  </si>
  <si>
    <t xml:space="preserve">CTCPA - Centre technique de la conservation des produits agricoles</t>
  </si>
  <si>
    <t xml:space="preserve">Art. 72 de la loi n° 2003-1312 du 30 décembre 2003 de finances rectificative pour 2003</t>
  </si>
  <si>
    <t xml:space="preserve">Taxe sur les biens des industries des corps gras (TICG)</t>
  </si>
  <si>
    <t xml:space="preserve">ITERG - Institut des corps gras</t>
  </si>
  <si>
    <t xml:space="preserve">Art. L. 471-1 et L. 471-2, 16° du code des impositions sur les biens et services (création) et art. L. 521-8-1, 10° du code de la recherche (affectation)</t>
  </si>
  <si>
    <t xml:space="preserve">Accise sur les énergies, perçue sur les gazoles et les essences, en métropole [part régionale]</t>
  </si>
  <si>
    <t xml:space="preserve">Énergies</t>
  </si>
  <si>
    <t xml:space="preserve">Énergie</t>
  </si>
  <si>
    <t xml:space="preserve">Régions</t>
  </si>
  <si>
    <t xml:space="preserve">Art. L. 312-1, L. 312-2, 1°,a et L. 312-22 du code des impositions sur les biens et services (création) et art. 60, IX de la loi n° 2019-1479 du 28 décembre 2019 de finances pour 2020, 52 de la loi n° 2004-1484 du 30 décembre 2004 de finances pour 2005, 40 de la loi n° 2005-1719 du 30 décembre 2005 de finances pour 2006, 41, I et II de la loi n° 2013-1278 du 29 décembre 2013 de finances pour 2014, 38 de la loi n° 2015-1785 du 29 décembre 2015 de finances pour 2016, L. 4331-2, a, 4° dernier alinéa, de du code général des collectivités territoriales et L. 4425-28-1 du même code (affectation)</t>
  </si>
  <si>
    <t xml:space="preserve">Accise sur les énergies, perçue sur les gazoles et les essences, en métropole [fractions transférées en compensation du transfert du RMI/RSA et dans le cadre de l'acte II de la décentralisation]</t>
  </si>
  <si>
    <t xml:space="preserve">Départements (part départementale)</t>
  </si>
  <si>
    <t xml:space="preserve">Art. L. 312-1, L. 312-2, 1°,a et L. 312-22 du code des impositions sur les biens et services (création) et art. 60, IX de la loi n° 2019-1479 du 28 décembre 2019 de finances pour 2020, 59, I de la loi n° 2003-1311 du 30 décembre 2003 de finances pour 2004, 51 de la loi n° 2008-1425 du 27 décembre 2008 de finances pour 2009 et 39 de la loi n° 2011-1977 du 28 décembre 2011 de finances pour 2012 (affectation)</t>
  </si>
  <si>
    <t xml:space="preserve">Accise sur les énergies, perçue sur l'électricité et les combustibles (accise sur les énergies de chauffage), composante modulée en fonction des coûts de la péréquation tarifaire</t>
  </si>
  <si>
    <t xml:space="preserve">Opérateurs électriques chargés d'une mission de service public dans les zones non interconnectées au réseau métropolitain continental au titre de l'art. L. 121-6 du code de l'énergie</t>
  </si>
  <si>
    <t xml:space="preserve">Code des impositions sur les biens et services, art. L. 312-1</t>
  </si>
  <si>
    <t xml:space="preserve">Accise sur les énergies perçue en métropole sur les produits autres que les charbons, les gaz naturels et l’électricité</t>
  </si>
  <si>
    <t xml:space="preserve">AFITF - Agence de financement des infrastructures de transport de France</t>
  </si>
  <si>
    <t xml:space="preserve">Accise sur les carburants, à l'exception du gaz naturel carburant</t>
  </si>
  <si>
    <t xml:space="preserve">Opérateurs de gaz naturel chargés d'une mission de service public au titre des 3° à 6° de l'article L. 121-36 du code de l'énergie ; Opérateurs électriques chargés d'une mission de service public au titre du 1° de l'article L. 121-7 du code de l'énergie, pour la part relative aux contrats de cogénération à partir de gaz naturel, et au 3° du même article</t>
  </si>
  <si>
    <t xml:space="preserve">Accise sur les énergies, perçue sur l'électricité — part communes et EPCI</t>
  </si>
  <si>
    <t xml:space="preserve">Communes ou EPCI (établissements publics de coopération intercommunale) à fiscalité propre et Départements - part communale ; Communes ou EPCI (établissements publics de coopération intercommunale) à fiscalité propre et Départements - part intercommunale</t>
  </si>
  <si>
    <t xml:space="preserve">Accise sur les énergies, perçue sur l'électricité — part départements et métropole de Lyon</t>
  </si>
  <si>
    <t xml:space="preserve">Départements et métropole de Lyon</t>
  </si>
  <si>
    <t xml:space="preserve">Accise sur les énergies, fraction perçue sur les carburants, outre-mer</t>
  </si>
  <si>
    <t xml:space="preserve">Régions de la Guadeloupe, de la Martinique, de la Guyane et de la Réunion</t>
  </si>
  <si>
    <t xml:space="preserve">Taxe incitative relative à l'utilisation d'énergie renouvelable dans le transport (TIRUERT)</t>
  </si>
  <si>
    <t xml:space="preserve">Code des douanes, art. 266 quindecies</t>
  </si>
  <si>
    <t xml:space="preserve">Taxe intérieure de consommation sur les produits énergétiques (TICPE) - part Grenelle</t>
  </si>
  <si>
    <t xml:space="preserve">Code général des collectivités territoriales, art. 94</t>
  </si>
  <si>
    <t xml:space="preserve">Accise sur les tabacs, en métropole (hors Corse)</t>
  </si>
  <si>
    <t xml:space="preserve">Tabacs</t>
  </si>
  <si>
    <t xml:space="preserve">Alcool, tabac, jeux</t>
  </si>
  <si>
    <t xml:space="preserve">CNAM (99,5%), RAVGDT (0,5%)</t>
  </si>
  <si>
    <t xml:space="preserve">Code des impositions sur les biens et services, art. L. 314-1</t>
  </si>
  <si>
    <t xml:space="preserve">Droit de licence sur la rémunération des débitants de tabacs</t>
  </si>
  <si>
    <t xml:space="preserve">Code général des impôts, art. L. 568</t>
  </si>
  <si>
    <t xml:space="preserve">Accise sur les tabacs, en Corse</t>
  </si>
  <si>
    <t xml:space="preserve">Collectivité territoriale de Corse</t>
  </si>
  <si>
    <t xml:space="preserve">Accise sur les tabacs, outre-mer</t>
  </si>
  <si>
    <t xml:space="preserve">Départements d'Outre-mer</t>
  </si>
  <si>
    <t xml:space="preserve">Contribution sociale à la charge des fournisseurs agréés de produits de tabac</t>
  </si>
  <si>
    <t xml:space="preserve">Code de la sécurité sociale, art. L. 137-27</t>
  </si>
  <si>
    <t xml:space="preserve">Droits de consommation sur les alcools</t>
  </si>
  <si>
    <t xml:space="preserve">Alcools</t>
  </si>
  <si>
    <t xml:space="preserve">CCMSA - non salariés - maladie, invalidité et maternité</t>
  </si>
  <si>
    <t xml:space="preserve">Code des impositions sur les biens et services, art. L. 313-2</t>
  </si>
  <si>
    <t xml:space="preserve">Droit sur les bières et les boissons non alcoolisées</t>
  </si>
  <si>
    <t xml:space="preserve">CCMSA - non salariés branche vieillesse</t>
  </si>
  <si>
    <t xml:space="preserve">Art. 1613 quater, I et II, 1° du code général des impôts (création) et art. L. 731-3, 4° bis du code rural et de la pêche maritime (affectation)</t>
  </si>
  <si>
    <t xml:space="preserve">Cotisation spéciale sur les boissons alcooliques</t>
  </si>
  <si>
    <t xml:space="preserve">Code de la sécurité sociale, art. L. 245-7</t>
  </si>
  <si>
    <t xml:space="preserve">Accise sur les alcools, percue sur les catégories fiscales autre celle des alcools</t>
  </si>
  <si>
    <t xml:space="preserve">Accise sur les alcools, majoration outre-mer perçue sur les spiritueux locaux</t>
  </si>
  <si>
    <t xml:space="preserve">Code des impositions sur les biens et services, art. L. 313-1</t>
  </si>
  <si>
    <t xml:space="preserve">Soulte rhum et tafias</t>
  </si>
  <si>
    <t xml:space="preserve">Art. 362 du code général des impôts</t>
  </si>
  <si>
    <t xml:space="preserve">Taxe sur les boissons "premix"</t>
  </si>
  <si>
    <t xml:space="preserve">Art. 1613 bis du code général des impôts</t>
  </si>
  <si>
    <t xml:space="preserve">Taxe sur les boissons sucrées</t>
  </si>
  <si>
    <t xml:space="preserve">Eau, déchets et boissons sucrées</t>
  </si>
  <si>
    <t xml:space="preserve">CCMSA - non salariés - maladie</t>
  </si>
  <si>
    <t xml:space="preserve">Code général des impôts, art. 1613 ter</t>
  </si>
  <si>
    <t xml:space="preserve">Contribution générale sur les boissons alcoolique, tarif sur les boissons édulcorées</t>
  </si>
  <si>
    <t xml:space="preserve">Art. 1613 quater, I et II, 2° du code général des impôts (création) et VI du même article (affectation)</t>
  </si>
  <si>
    <t xml:space="preserve">Redevances pour prélèvement sur la ressource en eau, pour pollution de l'eau, pour modernisation des réseaux de collecte, pour pollutions diffuses, pour stockage d'eau en période d'étiage, pour obstacle sur les cours d'eau et pour protection du milieu aquatique dans les DOM</t>
  </si>
  <si>
    <t xml:space="preserve">Redevances sur l'eau</t>
  </si>
  <si>
    <t xml:space="preserve">Offices de l'eau (dans les DOM)</t>
  </si>
  <si>
    <t xml:space="preserve">Code de l'environnement, art. L. 213-14</t>
  </si>
  <si>
    <t xml:space="preserve">Taxe sur les déchets mis en décharge (TDMD) et taxe sur les déchets incinérés (TDI), majoration locale</t>
  </si>
  <si>
    <t xml:space="preserve">Art. L. 433-43, L. 433-58, L. 433-72 et L. 433-90 du code des impositions sur les biens et services (création) et art. L. 3332-1, b, 5° du code général des collectivités territoriales (affectation)</t>
  </si>
  <si>
    <t xml:space="preserve">Contribution sur les eaux minérales</t>
  </si>
  <si>
    <t xml:space="preserve">Code général des impôts, art. 1582</t>
  </si>
  <si>
    <t xml:space="preserve">Redevances pour pollution de l'eau, redevances pour modernisation des réseaux de collecte, redevance sur la consommation d'eau potable, redevances pour la performance des réseaux d'eau potable et pour la performance des systèmes d'assainissement collectif, redevances pour pollutions diffuses, redevances pour prélèvement sur la ressource en eau, redevance pour stockage d'eau en période d'étiage, redevances cynégétiques, droit de validation du permis de chasse, redevance pour protection du milieu aquatique, redevance pour obstacle sur les cours d’eau</t>
  </si>
  <si>
    <t xml:space="preserve">Agences de l'eau</t>
  </si>
  <si>
    <t xml:space="preserve">Art. L. 213-10, L. 213-10-8 et L. 213-10-10 à L. 213-10-12 du code de l’environnement</t>
  </si>
  <si>
    <t xml:space="preserve">Taxe régionale sur l'immatriculation des véhicules (TRIV) et taxe fixe sur l'immatriculation des véhicules (TFIV)</t>
  </si>
  <si>
    <t xml:space="preserve">Transport, véhicules et déplacements</t>
  </si>
  <si>
    <t xml:space="preserve">Code général des collectivités territoriales, art. L. 421-29</t>
  </si>
  <si>
    <t xml:space="preserve">Taxe sur le transport aérien de passagers, tarif de solidarité (TAP, TS)</t>
  </si>
  <si>
    <t xml:space="preserve">Services de transports</t>
  </si>
  <si>
    <t xml:space="preserve">AFITF - Agence de financement des infrastructures de transport de France ; FSD - Fonds de solidarité pour le développement géré par l'Agence française de développement (AFD) - suivi MEAE</t>
  </si>
  <si>
    <t xml:space="preserve">Code des impositions sur les biens et services, art. L. 422-13</t>
  </si>
  <si>
    <t xml:space="preserve">Taxe d'aéroport</t>
  </si>
  <si>
    <t xml:space="preserve">Personnes publiques ou privées exploitant des aérodromes dont le trafic embarqué ou débarqué s'élève au cours de la dernière année civile connue à plus de 5000 unités de trafic (UDT)</t>
  </si>
  <si>
    <t xml:space="preserve">Code général des impôts, art. 1609 quatervicies</t>
  </si>
  <si>
    <t xml:space="preserve">Taxe sur la distance parcourue sur le réseau autoroutier concédé</t>
  </si>
  <si>
    <t xml:space="preserve">Code des impositions sur les biens et services, art. L. 421-175</t>
  </si>
  <si>
    <t xml:space="preserve">Taxe régionale sur l'immatriculation des véhicules (TRIV), majoration francilienne</t>
  </si>
  <si>
    <t xml:space="preserve">Code des impositions sur les biens et services, art. L. 1241-14</t>
  </si>
  <si>
    <t xml:space="preserve">Taxe sur l'immatriculation des véhicules de transport (TIVT)</t>
  </si>
  <si>
    <t xml:space="preserve">AFT - Association pour le développement de la formation professionnelle dans les transports</t>
  </si>
  <si>
    <t xml:space="preserve">Code des impositions sur les biens et services, art. L. 421-29</t>
  </si>
  <si>
    <t xml:space="preserve">Taxe sur le transport aérien de passagers, majoration Corse (TAP) et taxe sur le transport maritime de passagers dans certains territoires côtiers (TMPTC)</t>
  </si>
  <si>
    <t xml:space="preserve">Art. L. 422-13, L. 422-29, L. 423-57 du code des impositions sur les biens et services (création) et art. L.4425-22, 2° du code général des collectivités territoriales (affectation)</t>
  </si>
  <si>
    <t xml:space="preserve">Taxe annuelle sur les engins maritimes à usage personnel (TAEMUP)</t>
  </si>
  <si>
    <t xml:space="preserve">CELRL - Conservatoire de l'espace littoral et des rivages lacustres ; Collectivité territoriale de Corse ; Filière de responsabilité élargie du producteur (REP) relative aux navires de plaisance et de sport hors d’usage (NPSHU) ; Organismes de secours et de sauvetage en mer agréés (art. L742-9 code de la sécurité intérieure)</t>
  </si>
  <si>
    <t xml:space="preserve">Code de l'environnement, art. L. 423-37</t>
  </si>
  <si>
    <t xml:space="preserve">Taxe sur les nuisances sonores aériennes (TNSA)</t>
  </si>
  <si>
    <t xml:space="preserve">Personnes publiques ou privées exploitant des aérodromes</t>
  </si>
  <si>
    <t xml:space="preserve">Code des impositions sur les biens et services, art. L. 422-49</t>
  </si>
  <si>
    <t xml:space="preserve">Droit départemental de passage sur les ouvrages d'art reliant le continent aux îles maritimes</t>
  </si>
  <si>
    <t xml:space="preserve">Code de l'environnement, art. L. 173-3</t>
  </si>
  <si>
    <t xml:space="preserve">Taxe fixe sur l'immatriculation des véhicules (TFIV)</t>
  </si>
  <si>
    <t xml:space="preserve">ANTS - Agence nationale des titres sécurisés</t>
  </si>
  <si>
    <t xml:space="preserve">Taxe sur le transport maritime de passagers destination d'espaces naturels protégés (TTMPDENP)</t>
  </si>
  <si>
    <t xml:space="preserve">Personne publique assurant la gestion de l'espace naturel protégé concerné ou la commune d'implantation de l'espace naturel protégé</t>
  </si>
  <si>
    <t xml:space="preserve">Code des impositions sur les biens et services, art. L. 423-47</t>
  </si>
  <si>
    <t xml:space="preserve">Taxe sur le transport aérien de passagers, majoration outre-mer (TAP)</t>
  </si>
  <si>
    <t xml:space="preserve">Taxe sur les exploitants de plateformes de mises en relation par voie électronique en vue de fournir certaines prestations de transport</t>
  </si>
  <si>
    <t xml:space="preserve">ARPE - Autorité des relations sociales des plateformes d'emploi</t>
  </si>
  <si>
    <t xml:space="preserve">Code des impositions sur les biens et services, art. L. 453-35</t>
  </si>
  <si>
    <t xml:space="preserve">Taxe annuelle sur les engins maritimes à usage personnel (TAEMUP) – Fraction perçue sur les engins ne battant pas pavillon français</t>
  </si>
  <si>
    <t xml:space="preserve">Organismes de secours et de sauvetage en mer agréés (art. L742-9 code de la sécurité intérieure)</t>
  </si>
  <si>
    <t xml:space="preserve">Art. L. 423-4 et L. 423-11 du code des impositions sur les biens et services (création) et art. L. 742-11-2 du code de la sécurité intérieure (affectation)</t>
  </si>
  <si>
    <t xml:space="preserve">Taxe additionnelle à la taxe de séjour dans les départements des Bouches-du-Rhône, du Var et des Alpes-Maritimes</t>
  </si>
  <si>
    <t xml:space="preserve">Taxe de séjour</t>
  </si>
  <si>
    <t xml:space="preserve">Code général des collectivités territoriales, art. L. 4332-4</t>
  </si>
  <si>
    <t xml:space="preserve">Taxe sur le transport aérien de marchandises</t>
  </si>
  <si>
    <t xml:space="preserve">Art. L. 422-41 du code des impositions sur les biens et services</t>
  </si>
  <si>
    <t xml:space="preserve">Taxes sur l'immatriculation des véhicules, taxe sur la masse en ordre de marche des véhicules de tourisme</t>
  </si>
  <si>
    <t xml:space="preserve">Art. L. 421-30 (4°, b) du code des impositions sur les biens et services</t>
  </si>
  <si>
    <t xml:space="preserve">Taxes sur l'immatriculation des véhicules, taxe sur les émissions de dioxyde de carbone des véhicules de tourisme</t>
  </si>
  <si>
    <t xml:space="preserve">Art. L. 421-30 (4°, a) du code des impositions sur les biens et services</t>
  </si>
  <si>
    <t xml:space="preserve">Taxe sur les services numériques</t>
  </si>
  <si>
    <t xml:space="preserve">Médias, culture et numérique</t>
  </si>
  <si>
    <t xml:space="preserve">Numérique, spectacles</t>
  </si>
  <si>
    <t xml:space="preserve">Code des impositions sur les biens et services, art. L. 453-40</t>
  </si>
  <si>
    <t xml:space="preserve">Taxe sur les services de télévision</t>
  </si>
  <si>
    <t xml:space="preserve">CNC - Centre national du cinéma et de l'image animée</t>
  </si>
  <si>
    <t xml:space="preserve">Code des impositions sur les biens et services, art. L. 453-13</t>
  </si>
  <si>
    <t xml:space="preserve">Taxe sur la publicité télévisuelle et autres ressources liées à la diffusion de services de télévision</t>
  </si>
  <si>
    <t xml:space="preserve">Code des impositions sur les biens et services, art. L. 454-1</t>
  </si>
  <si>
    <t xml:space="preserve">Taxe sur les services d'accès à des contenus audiovisuels à la demande</t>
  </si>
  <si>
    <t xml:space="preserve">Code des impositions sur les biens et services, art. L. 454-16</t>
  </si>
  <si>
    <t xml:space="preserve">Taxe sur les spectacles cinématographiques</t>
  </si>
  <si>
    <t xml:space="preserve">Code des impositions sur les biens et services, art. L. 452-1</t>
  </si>
  <si>
    <t xml:space="preserve">Taxe sur les spectacles vivants, fraction perçue sur les spectacles de variétés (TSV, SV)</t>
  </si>
  <si>
    <t xml:space="preserve">CNM - Centre national de la musique</t>
  </si>
  <si>
    <t xml:space="preserve">Code des impositions sur les biens et services, art. L. 452-14</t>
  </si>
  <si>
    <t xml:space="preserve">Taxe sur la cession de droits d'exploitation audiovisuelle des manifestations sportives (TCSDEAMS)</t>
  </si>
  <si>
    <t xml:space="preserve">ANS - Agence nationale du sport</t>
  </si>
  <si>
    <t xml:space="preserve">Code des impositions sur les biens et services, art. L. 455-28</t>
  </si>
  <si>
    <t xml:space="preserve">Taxe sur la publicité diffusée au moyen de services d'accès à des contenus audiovisuels à la demande</t>
  </si>
  <si>
    <t xml:space="preserve">Taxe sur les locations en France de phonogrammes musicaux et de vidéomusiques destinés à l'usage privé du public dans le cadre d'une mise à disposition à la demande sur les réseaux en ligne</t>
  </si>
  <si>
    <t xml:space="preserve">Code général des impôts, art. 1609 sexdecies C</t>
  </si>
  <si>
    <t xml:space="preserve">Taxe sur la publicité diffusée au moyen de documents imprimés (ex-taxe sur certaines dépenses de publicité)</t>
  </si>
  <si>
    <t xml:space="preserve">Art. L. 454-29 du code des impositions sur les biens et services</t>
  </si>
  <si>
    <t xml:space="preserve">Taxe sur les spectacles vivants, fraction perçue sur les spectacles d'art dramatique, lyrique et chorégraphique (TSV, ADLC)</t>
  </si>
  <si>
    <t xml:space="preserve">Association pour le soutien du théâtre privé</t>
  </si>
  <si>
    <t xml:space="preserve">Taxe sur la production et la distribution d'oeuvres cinématographiques</t>
  </si>
  <si>
    <t xml:space="preserve">Code des impositions sur les biens et services, art. L. 455-17</t>
  </si>
  <si>
    <t xml:space="preserve">Taxe sur les vidéogrammes</t>
  </si>
  <si>
    <t xml:space="preserve">Code des impositions sur les biens et services, art. L. 452-28</t>
  </si>
  <si>
    <t xml:space="preserve">Taxe sur les biens des industrie du papier (TBIP)</t>
  </si>
  <si>
    <t xml:space="preserve">Centre technique du papier (CTP)</t>
  </si>
  <si>
    <t xml:space="preserve">Art. L. 471-1 et L. 471-2, 9° du code des impositions sur les biens et services (création) et art. L. 521-8-1, 4° du code de la recherche (affectation)</t>
  </si>
  <si>
    <t xml:space="preserve">Taxe sur les papiers graphiques</t>
  </si>
  <si>
    <t xml:space="preserve">Taxe sur les services de communications électroniques</t>
  </si>
  <si>
    <t xml:space="preserve">Taxe sur les conventions d'assurance</t>
  </si>
  <si>
    <t xml:space="preserve">Assurance</t>
  </si>
  <si>
    <t xml:space="preserve">CNAF ; Départements (part départementale)</t>
  </si>
  <si>
    <t xml:space="preserve">Code général des impôts, art. 991</t>
  </si>
  <si>
    <t xml:space="preserve">Prélèvement sur les contrats d'assurance de biens</t>
  </si>
  <si>
    <t xml:space="preserve">FGTI - Fonds de garantie des victimes d'actes terroristes et autres infractions</t>
  </si>
  <si>
    <t xml:space="preserve">Art. L. 422-1 du code des assurances</t>
  </si>
  <si>
    <t xml:space="preserve">Contributions additionnelles aux primes ou cotisations afférentes à certaines conventions d'assurance</t>
  </si>
  <si>
    <t xml:space="preserve">Code général des impôts, art. 1635 bis A</t>
  </si>
  <si>
    <t xml:space="preserve">Contribution des assurés</t>
  </si>
  <si>
    <t xml:space="preserve">FGAO - Fonds de garantie des assurances obligatoires de dommages</t>
  </si>
  <si>
    <t xml:space="preserve">Art. L. 421-1 et suivants du code des assurances</t>
  </si>
  <si>
    <t xml:space="preserve">Contribution additionnelle aux primes ou cotisations d'assurance afférentes aux conventions d'assurance couvrant à titre exclusif ou principal les dommages aux sols, récoltes, cultures, bâtiments, et au cheptel mort ou vif affectés aux exploitations agricoles</t>
  </si>
  <si>
    <t xml:space="preserve">Majoration de la taxe sur les assurances de protection juridique au profit du Conseil national des barreaux</t>
  </si>
  <si>
    <t xml:space="preserve">Art. 1001, 5° ter, du code général des impôts</t>
  </si>
  <si>
    <t xml:space="preserve">Prélèvement sur le produit des primes ou cotisations additionnelles relatives à la garantie contre le risque de catastrophes naturelles</t>
  </si>
  <si>
    <t xml:space="preserve">Code de l'environnement, art. L. 561-3</t>
  </si>
  <si>
    <t xml:space="preserve">Taxe sur les primes d'assurances</t>
  </si>
  <si>
    <t xml:space="preserve">Art. 991 du code général des impôts</t>
  </si>
  <si>
    <t xml:space="preserve">Prélèvement sur les jeux exploités par la FdJ hors paris sportifs</t>
  </si>
  <si>
    <t xml:space="preserve">Jeux et paris</t>
  </si>
  <si>
    <t xml:space="preserve">Code général des impôts, art. 1609 novovicies al. 1</t>
  </si>
  <si>
    <t xml:space="preserve">Prélèvement sur les paris sportifs en ligne de la FdJ et des nouveaux opérateurs agréés</t>
  </si>
  <si>
    <t xml:space="preserve">Code général des impôts, art. 1609 tricies</t>
  </si>
  <si>
    <t xml:space="preserve">Prélèvement sur le produit brut des jeux dans les casinos</t>
  </si>
  <si>
    <t xml:space="preserve">Communes et établissements publics concernés</t>
  </si>
  <si>
    <t xml:space="preserve">Code général des collectivités territoriales, art. L. 2333-55</t>
  </si>
  <si>
    <t xml:space="preserve">Redevances sur les paris hippiques</t>
  </si>
  <si>
    <t xml:space="preserve">Les sociétés-mères de courses de chevaux</t>
  </si>
  <si>
    <t xml:space="preserve">Code général des impôts, art. 1609 tertricies</t>
  </si>
  <si>
    <t xml:space="preserve">Fraction des Prélèvements sociaux sur les jeux</t>
  </si>
  <si>
    <t xml:space="preserve">ANSP - Agence nationale de santé publique ; CNAF</t>
  </si>
  <si>
    <t xml:space="preserve">Code de la sécurité sociale, art. L. 137-20</t>
  </si>
  <si>
    <t xml:space="preserve">Fraction du Prélèvement sur les mises de jeux de cercle en ligne affectée aux communes dans le ressort territorial desquelles sont ouverts au public un ou plusieurs casinos</t>
  </si>
  <si>
    <t xml:space="preserve">Communes concernées</t>
  </si>
  <si>
    <t xml:space="preserve">Code général des impôts, art. 302 bis ZI</t>
  </si>
  <si>
    <t xml:space="preserve">Fraction du Prélèvement sur les paris hippiques affectée aux EPCI et communes sur le territoire desquelles sont ouverts au public un ou plusieurs hippodromes</t>
  </si>
  <si>
    <t xml:space="preserve">EPCI et communes concernées</t>
  </si>
  <si>
    <t xml:space="preserve">Code général des impôts, art. 302 bis ZG</t>
  </si>
  <si>
    <t xml:space="preserve">Fraction du prélèvement sur les jeux de loterie correspondant aux jeux dédiés au patrimoine</t>
  </si>
  <si>
    <t xml:space="preserve">Fondation du patrimoine</t>
  </si>
  <si>
    <t xml:space="preserve">Art. 138 de la loi n° 2019-486 du 22 mai 2019 relative à la croissance et la transformation des entreprises (création) et art. 90 de la loi n° 2017-1775 du 28 décembre 2017 de finances rectificative pour 2017 (affectation)</t>
  </si>
  <si>
    <t xml:space="preserve">Impôt sur les spectacles, jeux et divertissements</t>
  </si>
  <si>
    <t xml:space="preserve">Code général des impôts, art. 124</t>
  </si>
  <si>
    <t xml:space="preserve">Prélèvement sur le produit brut des jeux dans les casinos en contrepartie d'actions de promotion en faveur du tourisme</t>
  </si>
  <si>
    <t xml:space="preserve">Code général des collectivités territoriales, art. L. 2333-54</t>
  </si>
  <si>
    <t xml:space="preserve">Sommes constatées par les clubs de jeux au titre des "orphelins"</t>
  </si>
  <si>
    <t xml:space="preserve">Taxe de séjour, taxe de séjour forfaitaire</t>
  </si>
  <si>
    <t xml:space="preserve">Hébergement et séjour</t>
  </si>
  <si>
    <t xml:space="preserve">Communes ou EPCI (établissements publics de coopération intercommunale à fiscalité propre) - part communale ; Communes ou EPCI (établissements publics de coopération intercommunale à fiscalité propre) - part intercommunale</t>
  </si>
  <si>
    <t xml:space="preserve">Code général des collectivités territoriales, art. L. 2333-26</t>
  </si>
  <si>
    <t xml:space="preserve">Taxe additionnelle départementale à la taxe de séjour</t>
  </si>
  <si>
    <t xml:space="preserve">Code général des collectivités territoriales, art. L. 3333-1</t>
  </si>
  <si>
    <t xml:space="preserve">Taxe sur les remontées mécaniques</t>
  </si>
  <si>
    <t xml:space="preserve">Code général des collectivités territoriales, art. L. 2333-49</t>
  </si>
  <si>
    <t xml:space="preserve">Taxe additionnelle régionale de 15% à la taxe de séjour IDF</t>
  </si>
  <si>
    <t xml:space="preserve">Article L. 4332-6 du code général des collectivités territoriales ; Article L. 4332-5 du code général des collectivités territoriales ; Article L. 4332-4 du code général des collectivités territoriales</t>
  </si>
  <si>
    <t xml:space="preserve">Taxe de ski de fond</t>
  </si>
  <si>
    <t xml:space="preserve">Code général des collectivités territoriales, art. L. 2333-81</t>
  </si>
  <si>
    <t xml:space="preserve">Taxe additionnelle à la taxe de séjour dans les départements de l'Hérault, de l'Aude et des Pyrénées-Orientales</t>
  </si>
  <si>
    <t xml:space="preserve">Code général des collectivités territoriales, art. L. 4332-6</t>
  </si>
  <si>
    <t xml:space="preserve">Taxe additionnelle à la taxe de séjour dans les départements de la Gironde, des Landes, du Lot-et-Garonne, des Pyrénées-Atlantiques, de la Haute-Garonne, du Gers, des Hautes-Pyrénées, de l'Ariège, du Lot, du Tarn et du Tarn-et-Garonne</t>
  </si>
  <si>
    <t xml:space="preserve">Code général des collectivités territoriales, art. L. 4332-5</t>
  </si>
  <si>
    <t xml:space="preserve">Droit d'octroi de mer et droit d'octroi de mer régional</t>
  </si>
  <si>
    <t xml:space="preserve">Importations, octroi de mer et outre-mer</t>
  </si>
  <si>
    <t xml:space="preserve">Outre-mer</t>
  </si>
  <si>
    <t xml:space="preserve">Collectivités territoriales des DOM</t>
  </si>
  <si>
    <t xml:space="preserve">Art. 1 et 37 (création) et 47 (affectation) de la loi n° 2004-639 du 2 juillet relative à l'octroi de mer</t>
  </si>
  <si>
    <t xml:space="preserve">Droits d'importation</t>
  </si>
  <si>
    <t xml:space="preserve">Droits de place</t>
  </si>
  <si>
    <t xml:space="preserve">Code général des collectivités territoriales, art. L. 2224-18</t>
  </si>
  <si>
    <t xml:space="preserve">Impôt sur la fortune immobilière</t>
  </si>
  <si>
    <t xml:space="preserve">Détention immobilière</t>
  </si>
  <si>
    <t xml:space="preserve">Taxe foncière</t>
  </si>
  <si>
    <t xml:space="preserve">Code général des impôts, art. 964</t>
  </si>
  <si>
    <t xml:space="preserve">Taxe additionnelle à la taxe foncière sur les propriétés non baties, pour frais de chambres d'agriculture (TCA-TFPNB)</t>
  </si>
  <si>
    <t xml:space="preserve">Chambres départementales d'agriculture</t>
  </si>
  <si>
    <t xml:space="preserve">Code général des impôts, art. 1604</t>
  </si>
  <si>
    <t xml:space="preserve">Taxe additionnelle spéciale annuelle (TASA)</t>
  </si>
  <si>
    <t xml:space="preserve">Code général des impôts, art. 1599 quater D</t>
  </si>
  <si>
    <t xml:space="preserve">Taxe foncière sur les propriétés bâties</t>
  </si>
  <si>
    <t xml:space="preserve">Code général des impôts, art. 1380</t>
  </si>
  <si>
    <t xml:space="preserve">Taxe foncière sur les propriétés non bâties</t>
  </si>
  <si>
    <t xml:space="preserve">Code général des impôts, art. 1393</t>
  </si>
  <si>
    <t xml:space="preserve">Taxe sur la valeur vénale des immeubles</t>
  </si>
  <si>
    <t xml:space="preserve">Code général des impôts, art. 990 D</t>
  </si>
  <si>
    <t xml:space="preserve">Taxe annuelle sur les logements vacants</t>
  </si>
  <si>
    <t xml:space="preserve">Occupation du logement</t>
  </si>
  <si>
    <t xml:space="preserve">Code général des impôts, art. 232</t>
  </si>
  <si>
    <t xml:space="preserve">Taxe d'habitation sur les résidences secondaires</t>
  </si>
  <si>
    <t xml:space="preserve">Code général des impôts, art. 1407</t>
  </si>
  <si>
    <t xml:space="preserve">Taxe annuelle sur les locaux à usage de bureaux, les locaux commerciaux, les locaux de stockage et les surfaces de stationnement annexées à ces catégories de locaux perçue dans la région Ile-de-France</t>
  </si>
  <si>
    <t xml:space="preserve">Locaux d'activité</t>
  </si>
  <si>
    <t xml:space="preserve">FNAL - Fonds national d'aide au logement ; Région Ile-de-France ; SGP - Société des grands projets</t>
  </si>
  <si>
    <t xml:space="preserve">Code général des impôts, art. 231 ter</t>
  </si>
  <si>
    <t xml:space="preserve">TA-CFE - fraction CCI-R de la Taxe additionnelle à la cotisation foncière des entreprises pour frais de chambres de commerce et d’industrie de région</t>
  </si>
  <si>
    <t xml:space="preserve">Art. 1600 du code général des impôts</t>
  </si>
  <si>
    <t xml:space="preserve">TA-CFE - fraction CRMA de la Taxe additionnelle à la cotisation foncière des entreprises pour frais de chambre régionale de métiers et d'artisanat</t>
  </si>
  <si>
    <t xml:space="preserve">CRMA (incl. Alsace et Moselle)</t>
  </si>
  <si>
    <t xml:space="preserve">Code général des impôts, art. 1601</t>
  </si>
  <si>
    <t xml:space="preserve">Taxe sur les surfaces commerciales</t>
  </si>
  <si>
    <t xml:space="preserve">Art. 3 de la loi n° 72-657 du 13 juillet 1972</t>
  </si>
  <si>
    <t xml:space="preserve">Redevance pour création de bureaux ou de locaux de recherche en région Ile-de-France</t>
  </si>
  <si>
    <t xml:space="preserve">Région Ile-de-France</t>
  </si>
  <si>
    <t xml:space="preserve">Art. L. 520-1 du code de l'urbanisme</t>
  </si>
  <si>
    <t xml:space="preserve">Taxe sur les surfaces de stationnement</t>
  </si>
  <si>
    <t xml:space="preserve">Région Ile-de-France ; SGP - Société des grands projets</t>
  </si>
  <si>
    <t xml:space="preserve">Code général des impôts, art. 1599 quater C</t>
  </si>
  <si>
    <t xml:space="preserve">Taxes sur les friches commerciales</t>
  </si>
  <si>
    <t xml:space="preserve">Communes ou EPCI (établissements publics de coopération intercommunale à fiscalité propre) - part communale</t>
  </si>
  <si>
    <t xml:space="preserve">Code général des impôts, art. 1530</t>
  </si>
  <si>
    <t xml:space="preserve">CFE</t>
  </si>
  <si>
    <t xml:space="preserve">Code général des impôts, art. 1447</t>
  </si>
  <si>
    <t xml:space="preserve">Participation pour non-réalisation d'aires de stationnement</t>
  </si>
  <si>
    <t xml:space="preserve">Art. L. 332-6-1 (2°, b) du code de l'urbanisme</t>
  </si>
  <si>
    <t xml:space="preserve">Taxe additionnelle à la TASCOM</t>
  </si>
  <si>
    <t xml:space="preserve">Code général des impôts, art. 302 bis ZA</t>
  </si>
  <si>
    <t xml:space="preserve">Taxe annuelle sur les locaux à usage de bureaux, les locaux commerciaux, les locaux de stockage et les surfaces de stationnement perçue dans les départements des Bouches-du-Rhône, du Var et des Alpes-Maritimes</t>
  </si>
  <si>
    <t xml:space="preserve">Code général des impôts, art. 231 quater</t>
  </si>
  <si>
    <t xml:space="preserve">Taxe pour frais de chambre de métiers (CMA)</t>
  </si>
  <si>
    <t xml:space="preserve">Taxe pour frais de chambre de métiers d'Alsace</t>
  </si>
  <si>
    <t xml:space="preserve">Art. 1601 du code général des impôts</t>
  </si>
  <si>
    <t xml:space="preserve">Taxe pour frais de chambre de métiers de Moselle</t>
  </si>
  <si>
    <t xml:space="preserve">Taxe pour les chambres de commerce et d'industrie (TCCI)</t>
  </si>
  <si>
    <t xml:space="preserve">Code général des impôts, art. 1600</t>
  </si>
  <si>
    <t xml:space="preserve">Taxe sur le patrimoine financier</t>
  </si>
  <si>
    <t xml:space="preserve">Détention de patrimoine mobilier</t>
  </si>
  <si>
    <t xml:space="preserve">Autres taxes sur les ménages</t>
  </si>
  <si>
    <t xml:space="preserve">Taxe forfaitaire sur les métaux précieux, les bijoux, les objets d'art, de collection et d'antiquité</t>
  </si>
  <si>
    <t xml:space="preserve">Code général des impôts, art. 150 VI</t>
  </si>
  <si>
    <t xml:space="preserve">Prélèvement sur les contrats d'assurance-vie en deshérence; 'Prélèvement sur les contrats participation et intéressement en déshérence</t>
  </si>
  <si>
    <t xml:space="preserve">Code du travail, art. 18</t>
  </si>
  <si>
    <t xml:space="preserve">Prélèvement sur les biens, droits et produits placés dans un trust</t>
  </si>
  <si>
    <t xml:space="preserve">Code général des impôts, art. 990 J</t>
  </si>
  <si>
    <t xml:space="preserve">Taxe holding</t>
  </si>
  <si>
    <t xml:space="preserve">Code général des impôts, art. 235 ter C</t>
  </si>
  <si>
    <t xml:space="preserve">Droits de mutation à titre gratuit par décès</t>
  </si>
  <si>
    <t xml:space="preserve">À titre gratuit</t>
  </si>
  <si>
    <t xml:space="preserve">Code général des impôts, art. 750 ter</t>
  </si>
  <si>
    <t xml:space="preserve">Taxe départementale de publicité foncière sur les mutations à titres onéreux</t>
  </si>
  <si>
    <t xml:space="preserve">À titre onéreux</t>
  </si>
  <si>
    <t xml:space="preserve">Code général des impôts, art. 1594 A</t>
  </si>
  <si>
    <t xml:space="preserve">Droits de mutation à titre gratuit entre vifs (donations)</t>
  </si>
  <si>
    <t xml:space="preserve">Code général des impôts, art. 777</t>
  </si>
  <si>
    <t xml:space="preserve">Taxe communale additionnelle à certains droits d'enregistrement</t>
  </si>
  <si>
    <t xml:space="preserve">Communes de plus de 5.000 hbts</t>
  </si>
  <si>
    <t xml:space="preserve">Code général des impôts, art. 1584</t>
  </si>
  <si>
    <t xml:space="preserve">Droits départementaux d'enregistrement sur les mutations à titre onéreux d'immeubles</t>
  </si>
  <si>
    <t xml:space="preserve">Prélèvement sur les sommes versées par les organismes d'assurances et assimilés à raison des contrats d'assurance en cas de décès</t>
  </si>
  <si>
    <t xml:space="preserve">Droits de mutation</t>
  </si>
  <si>
    <t xml:space="preserve">Code général des impôts, art. 990 I</t>
  </si>
  <si>
    <t xml:space="preserve">Droits de mutation à titre onéreux de créances, rentes, prix d'offices</t>
  </si>
  <si>
    <t xml:space="preserve">Code général des impôts, art. 724</t>
  </si>
  <si>
    <t xml:space="preserve">Droits de mutation à titre onéreux de fonds de commerce</t>
  </si>
  <si>
    <t xml:space="preserve">Code général des impôts, art. 719</t>
  </si>
  <si>
    <t xml:space="preserve">Taxe départementale additionnelle à certains droits d'enregistrement</t>
  </si>
  <si>
    <t xml:space="preserve">Code général des impôts, art. 1595</t>
  </si>
  <si>
    <t xml:space="preserve">Droits de mutation à titre onéreux de meubles corporels</t>
  </si>
  <si>
    <t xml:space="preserve">Code général des impôts, art. 733</t>
  </si>
  <si>
    <t xml:space="preserve">Droits d'enregistrement</t>
  </si>
  <si>
    <t xml:space="preserve">Code général des impôts, art. 635</t>
  </si>
  <si>
    <t xml:space="preserve">Droits d'enregistrement sur les mutations de jouissance (baux d'immeubles et commerciaux à durée limitée)</t>
  </si>
  <si>
    <t xml:space="preserve">Code général des impôts, art. 742</t>
  </si>
  <si>
    <t xml:space="preserve">Taxe additionnelle au droit de bail</t>
  </si>
  <si>
    <t xml:space="preserve">Art. 234 nonies du code général des impôts</t>
  </si>
  <si>
    <t xml:space="preserve">Taxe additionnelle aux droits de mutation de locaux à usage de bureaux en IdF</t>
  </si>
  <si>
    <t xml:space="preserve">Code général des impôts, art. 1599 sexies</t>
  </si>
  <si>
    <t xml:space="preserve">Timbre unique</t>
  </si>
  <si>
    <t xml:space="preserve">Timbre et formalités administratives</t>
  </si>
  <si>
    <t xml:space="preserve">Fraction des droits de timbre sur les passeports sécurisés</t>
  </si>
  <si>
    <t xml:space="preserve">Art. 953 I du code général des impôts (création) et art. 46-1, 3° de la loi n° 2011-1977 du 28 décembre 2011 de finances pour 2012 (affectation)</t>
  </si>
  <si>
    <t xml:space="preserve">Droit de timbre sur les procédures civiles en première instance et prud’hommales</t>
  </si>
  <si>
    <t xml:space="preserve">UNCARPA - Union nationale des caisses des règlements pécuniaires des avocats</t>
  </si>
  <si>
    <t xml:space="preserve">Code général des impôts, art. 1635 bis Q</t>
  </si>
  <si>
    <t xml:space="preserve">Fraction des droits de timbre sur les cartes nationales d'identité</t>
  </si>
  <si>
    <t xml:space="preserve">Art. 1628 bis du code général des impôts (création) et art. 46-1, 5° de la loi n° 2011-1977 du 28 décembre 2011 de finances pour 2012 (affectation)</t>
  </si>
  <si>
    <t xml:space="preserve">Fraction des droits de timbre relative aux titres de séjours</t>
  </si>
  <si>
    <t xml:space="preserve">Code général des impôts, art. 953 al. IV</t>
  </si>
  <si>
    <t xml:space="preserve">Taxe sur le renouvellement et l'échange du permis de conduire (TREPC)</t>
  </si>
  <si>
    <t xml:space="preserve">Code des impositions sur les biens et services, art. L. 421-168</t>
  </si>
  <si>
    <t xml:space="preserve">Taxe sur le visa d'exploitation cinématographique</t>
  </si>
  <si>
    <t xml:space="preserve">Code des impositions sur les biens et services, art. L. 455-1</t>
  </si>
  <si>
    <t xml:space="preserve">Actes et écrits assujettis au timbre de dimension</t>
  </si>
  <si>
    <t xml:space="preserve">Taxe sur les permis de conduire</t>
  </si>
  <si>
    <t xml:space="preserve">Code général des impôts, art. 1599 terdecies</t>
  </si>
  <si>
    <t xml:space="preserve">Droit de timbre sur les demandes de naturalisation, les demandes de réintégration dans la nationalité française et les déclarations d'acquisition de la nationalité</t>
  </si>
  <si>
    <t xml:space="preserve">Code général des impôts, art. 958</t>
  </si>
  <si>
    <t xml:space="preserve">Droit de timbre sur les visas de passeports étrangers</t>
  </si>
  <si>
    <t xml:space="preserve">Code général des impôts, art. 954</t>
  </si>
  <si>
    <t xml:space="preserve">Redevance pour examen du code de la route</t>
  </si>
  <si>
    <t xml:space="preserve">Art. R. 221-3-3 du code de la route</t>
  </si>
  <si>
    <t xml:space="preserve">Taxe applicable aux demandes de validation d'une attestation d'accueil</t>
  </si>
  <si>
    <t xml:space="preserve">Art. L. 313-6 du code de l'entrée et du séjour des étrangers et du droit d'asile</t>
  </si>
  <si>
    <t xml:space="preserve">Taxe d'ouverture de caveau</t>
  </si>
  <si>
    <t xml:space="preserve">Cgct, art. L. 2223-22-2</t>
  </si>
  <si>
    <t xml:space="preserve">Taxe sur le permis de conduire des bateaux de plaisance à moteur</t>
  </si>
  <si>
    <t xml:space="preserve">Code des impositions sur les biens et services, art. L. 423-38</t>
  </si>
  <si>
    <t xml:space="preserve">Taxe sur les demandes de visa ou de renouvellement de visa de publicité et sur les dépôts de publicité pharmaceutiques</t>
  </si>
  <si>
    <t xml:space="preserve">Art. 1635 bis AE du code général des impôts</t>
  </si>
  <si>
    <t xml:space="preserve">taxe de réduction et réunion de corps</t>
  </si>
  <si>
    <t xml:space="preserve">Cgct, art. L. 2223-22-1</t>
  </si>
  <si>
    <t xml:space="preserve">taxe de superposition des corps</t>
  </si>
  <si>
    <t xml:space="preserve">Droits sur les conventions et actes civils</t>
  </si>
  <si>
    <t xml:space="preserve">Actes juridiques et professions réglementées</t>
  </si>
  <si>
    <t xml:space="preserve">Code général des impôts, art. 680</t>
  </si>
  <si>
    <t xml:space="preserve">Redevances perçues à l'occasion des procédures et formalités en matière de propriété industrielle ainsi que de registre du commerce et des sociétés, établies par divers textes</t>
  </si>
  <si>
    <t xml:space="preserve">INPI - Institut national de la propriété industrielle</t>
  </si>
  <si>
    <t xml:space="preserve">Art. L. 411-2 1er alinéa du code de la propriété intellectuelle</t>
  </si>
  <si>
    <t xml:space="preserve">Contribution équivalente aux droits de plaidoirie</t>
  </si>
  <si>
    <t xml:space="preserve">CNBF - Caisse nationale des barreaux français</t>
  </si>
  <si>
    <t xml:space="preserve">Code de la sécurité sociale, art. L. 723-3</t>
  </si>
  <si>
    <t xml:space="preserve">Droit affecté au fonds d’indemnisation de la profession d’avoués près les cours d’appel</t>
  </si>
  <si>
    <t xml:space="preserve">Fonds d'indemnisation de la profession d'avoués près les cours d'appel</t>
  </si>
  <si>
    <t xml:space="preserve">Code général des impôts, art. 1635 bis P</t>
  </si>
  <si>
    <t xml:space="preserve">Droits de plaidoirie</t>
  </si>
  <si>
    <t xml:space="preserve">Droits sur les actes judiciaires et extrajudiciaires</t>
  </si>
  <si>
    <t xml:space="preserve">Frais d'inscription au registre des exploitants de voitures de transport avec chauffeur</t>
  </si>
  <si>
    <t xml:space="preserve">Code des transports, art. L. 3122-3</t>
  </si>
  <si>
    <t xml:space="preserve">Taxe sur les émoluments</t>
  </si>
  <si>
    <t xml:space="preserve">Taxe d’aménagement</t>
  </si>
  <si>
    <t xml:space="preserve">Urbanisme et aménagement</t>
  </si>
  <si>
    <t xml:space="preserve">Communes ou Groupements de communes (parts communale et intercommunale) ; Départements (part départementale) ; Région Ile-de-France</t>
  </si>
  <si>
    <t xml:space="preserve">Art. L. 331-4 du code de l’urbanisme ; Art L. 331-1 et L. 331-2 du code de l’urbanisme ; Art. L.331-3 du code de l’urbanisme</t>
  </si>
  <si>
    <t xml:space="preserve">Taxes spéciales d'équipement</t>
  </si>
  <si>
    <t xml:space="preserve">Agence pour la mise en valeur des espaces urbains de la zone dite des " 50 pas géométriques " en Guadeloupe ; Agence pour la mise en valeur des espaces urbains de la zone dite des " 50 pas géométriques " en Martinique ; Etablissement public d'aménagement en Guyane ; Etablissement public et foncier de Guadeloupe ; Etablissement public foncier d'Occitanie ; Etablissement public foncier de Bretagne ; Etablissement public foncier de Grand-Est ; Etablissement public foncier de Mayotte ; Etablissement public foncier de Normandie ; Etablissement public foncier de Nouvelle-Aquitaine ; Etablissement public foncier de Provence-Alpes-Côte d'Azur ; Etablissement public foncier de Vendée ; Etablissement public foncier de l'Ouest Rhône-Alpes ; Etablissement public foncier de la région Ile-de-France ; Etablissement public foncier des Hauts de France ; Etablissement public foncier local Alsace (ex du Bas Rhin) ; Etablissement public foncier local Béarn - Pyrénées ; Etablissement public foncier local d'Agen ; Etablissement public foncier local de Loire Atlantique ; Etablissement public foncier local de Martinique ; Etablissement public foncier local de Montauban ; Etablissement public foncier local de Perpignan-Méditerranée ; Etablissement public foncier local de l'Ain ; Etablissement public foncier local de la Réunion ; Etablissement public foncier local de la Savoie ; Etablissement public foncier local des collectivités de Côte-d'Or ; Etablissement public foncier local du Dauphiné ; Etablissement public foncier local du Doubs ; Etablissement public foncier local du Grand Toulouse ; Etablissement public foncier local du Pays basque ; Etablissement public foncier local du département de l'Oise ; Etablissement public foncier local du département de la Haute-Savoie ; Office foncier de Corse ; Établissement public foncier SMAF Auvergne ; Établissement public foncier local Cœur de France ; Établissement public foncier local Tours Métropole Val de Loire ; Établissement public foncier local du Tarn</t>
  </si>
  <si>
    <t xml:space="preserve">Code général des impôts, art. 1607 bis</t>
  </si>
  <si>
    <t xml:space="preserve">Taxe sur la publicité extérieure (TPE)</t>
  </si>
  <si>
    <t xml:space="preserve">Code des impositions sur les biens et services, art. L. 454-39</t>
  </si>
  <si>
    <t xml:space="preserve">Taxe spéciale d'équipement au profit de l'établissement public Société des grands projets</t>
  </si>
  <si>
    <t xml:space="preserve">Code général des impôts, art. 1609 G</t>
  </si>
  <si>
    <t xml:space="preserve">Indemnité de défrichement</t>
  </si>
  <si>
    <t xml:space="preserve">Art. L. 341-6 du code forestier</t>
  </si>
  <si>
    <t xml:space="preserve">Taxe pour non-raccordement à l'égout - Participation pour le financement de l'assainissement collectif (PAC)</t>
  </si>
  <si>
    <t xml:space="preserve">Code de la santé publique, art. L. 1331-7</t>
  </si>
  <si>
    <t xml:space="preserve">Taxe d'archéologie préventive</t>
  </si>
  <si>
    <t xml:space="preserve">Code général des impôts, art. 235 ter ZG</t>
  </si>
  <si>
    <t xml:space="preserve">Taxe gestion des milieux aquatiques et prévention des inondations (GEMAPI)</t>
  </si>
  <si>
    <t xml:space="preserve">Code général des impôts, art. 1530 bis</t>
  </si>
  <si>
    <t xml:space="preserve">Versement pour sous-densité</t>
  </si>
  <si>
    <t xml:space="preserve">Communes ou EPCI (établissements publics de coopération intercommunale) à fiscalité propre et Départements</t>
  </si>
  <si>
    <t xml:space="preserve">Art. 28 de la LFR-IV 2010 et art. L.331-35 et suiv. du code de l'urbanisme</t>
  </si>
  <si>
    <t xml:space="preserve">Taxes d'enlèvement des ordures ménagères</t>
  </si>
  <si>
    <t xml:space="preserve">Services urbains</t>
  </si>
  <si>
    <t xml:space="preserve">Code général des impôts, art. 1520</t>
  </si>
  <si>
    <t xml:space="preserve">Taxe de balayage</t>
  </si>
  <si>
    <t xml:space="preserve">Art. 2333-97 code général des collectivités territoriales</t>
  </si>
  <si>
    <t xml:space="preserve">Rémunération pour services rendus au comité professionnel des stocks stratégiques pétroliers</t>
  </si>
  <si>
    <t xml:space="preserve">Domaine public, spectre et concessions</t>
  </si>
  <si>
    <t xml:space="preserve">Comité professionnel des stocks stratégiques pétroliers</t>
  </si>
  <si>
    <t xml:space="preserve">Code de l'énergie, art. L. 642-6</t>
  </si>
  <si>
    <t xml:space="preserve">Redevance hydraulique</t>
  </si>
  <si>
    <t xml:space="preserve">VNF - Voies navigables de France</t>
  </si>
  <si>
    <t xml:space="preserve">Art. L. 4316-1 1° et R. 4316-1 du code des transports</t>
  </si>
  <si>
    <t xml:space="preserve">Redevance proportionnelle sur l'énergie hydraulique</t>
  </si>
  <si>
    <t xml:space="preserve">Communes et départements (part communale) ; Communes et départements (part départementale)</t>
  </si>
  <si>
    <t xml:space="preserve">Code de l'énergie, art. L. 523-1</t>
  </si>
  <si>
    <t xml:space="preserve">Redevances UMTS 2G et 3G</t>
  </si>
  <si>
    <t xml:space="preserve">Taxes sur les stations et liaisons radioélectriques privées</t>
  </si>
  <si>
    <t xml:space="preserve">Redevance due par les titulaires de titres d'exploitation de mines d'hydrocarbures liquides ou gazeux</t>
  </si>
  <si>
    <t xml:space="preserve">Caisse autonome de sécurité sociale dans les mines ; Régions</t>
  </si>
  <si>
    <t xml:space="preserve">Art. L. 132-16 du code minier</t>
  </si>
  <si>
    <t xml:space="preserve">Taxe sur l'utilisation des bandes « 700 MHz » et « 800 MHz » du spectre radioélectrique</t>
  </si>
  <si>
    <t xml:space="preserve">ANFr - Agence nationale des fréquences</t>
  </si>
  <si>
    <t xml:space="preserve">Code des impositions sur les biens et services, art. L. 455-44</t>
  </si>
  <si>
    <t xml:space="preserve">Participation des concessionnaires de la liaison fixe Trans-Manche au fonctionnement de la commission intergouvernementale et du comité de sécurité chargés de superviser la construction et l'exploitation de l'ouvrage</t>
  </si>
  <si>
    <t xml:space="preserve">Redevance proportionnelle sur le résultat normatif des concessions hydroélectriques soumises aux "délais glissants"</t>
  </si>
  <si>
    <t xml:space="preserve">Art. L. 523-1 à L. 523-3 du code de l'énergie</t>
  </si>
  <si>
    <t xml:space="preserve">Taxe liée aux dossiers de demande concernant les médicaments vétérinaires ou leur publicité</t>
  </si>
  <si>
    <t xml:space="preserve">Contrôles sanitaires et phytosanitaires</t>
  </si>
  <si>
    <t xml:space="preserve">ANSéS - Agence nationale de sécurité sanitaire, de l'alimentation, de l'environnement et du travail</t>
  </si>
  <si>
    <t xml:space="preserve">Code de la santé publique, art. L. 5141-8 I</t>
  </si>
  <si>
    <t xml:space="preserve">Taxe annuelle portant sur les autorisations de médicaments vétérinaires et les autorisations d’établissements pharmaceutiques vétérinaires</t>
  </si>
  <si>
    <t xml:space="preserve">Redevance sur les produits biocides</t>
  </si>
  <si>
    <t xml:space="preserve">Code de l'environnement, art. R. 522-1</t>
  </si>
  <si>
    <t xml:space="preserve">Redevance pour délivrance de certificats sanitaires et phytosanitaires</t>
  </si>
  <si>
    <t xml:space="preserve">FranceAgriMer</t>
  </si>
  <si>
    <t xml:space="preserve">Code rural et de la pêche maritime, art. L. 236-2</t>
  </si>
  <si>
    <t xml:space="preserve">Redevance pour l'agrément des établissements du secteur de l'alimentation animale</t>
  </si>
  <si>
    <t xml:space="preserve">Code général des impôts, art. 302 bis WD</t>
  </si>
  <si>
    <t xml:space="preserve">Redevance pour le contrôle vétérinaire à l'importation de produits animaux ou d'origine animale, d'animaux vivants</t>
  </si>
  <si>
    <t xml:space="preserve">Code général des impôts, art. 302 bis X</t>
  </si>
  <si>
    <t xml:space="preserve">Redevance pour les contrôles vétérinaires et phytosanitaires des végétaux à l'importation</t>
  </si>
  <si>
    <t xml:space="preserve">Art. 302 bis X du code général des impôts</t>
  </si>
  <si>
    <t xml:space="preserve">Redevance relative aux contrôles renforcés à l'importation des denrées alimentaires d'origine non animale</t>
  </si>
  <si>
    <t xml:space="preserve">Art. 302 bis XA du code général des impôts</t>
  </si>
  <si>
    <t xml:space="preserve">Redevance sanitaire d'abattage</t>
  </si>
  <si>
    <t xml:space="preserve">Code général des impôts, art. 302 bis N</t>
  </si>
  <si>
    <t xml:space="preserve">Redevance sanitaire de découpage</t>
  </si>
  <si>
    <t xml:space="preserve">Code général des impôts, art. 302 bis S</t>
  </si>
  <si>
    <t xml:space="preserve">Redevance sanitaire de première mise sur le marché des produits de la pêche ou de l'aquaculture</t>
  </si>
  <si>
    <t xml:space="preserve">Code général des impôts, art. 302 bis WA</t>
  </si>
  <si>
    <t xml:space="preserve">Redevance sanitaire de transformation des produits de la pêche et de l'aquaculture</t>
  </si>
  <si>
    <t xml:space="preserve">Code général des impôts, art. 302 bis WB</t>
  </si>
  <si>
    <t xml:space="preserve">Redevance sanitaire liée à la certification des végétaux à l'exportation</t>
  </si>
  <si>
    <t xml:space="preserve">Redevance sanitaire pour le contrôle de certaines substances et de leurs résidus</t>
  </si>
  <si>
    <t xml:space="preserve">Code général des impôts, art. 302 bis WC</t>
  </si>
  <si>
    <t xml:space="preserve">Redevances versées pour la délivrance des certificats d'obtention végétale</t>
  </si>
  <si>
    <t xml:space="preserve">Contributions pour frais de contrôle</t>
  </si>
  <si>
    <t xml:space="preserve">Frais de contrôle et de surveillance</t>
  </si>
  <si>
    <t xml:space="preserve">Banque de France-ACPR</t>
  </si>
  <si>
    <t xml:space="preserve">Code monétaire et financier, art. L. 612-20</t>
  </si>
  <si>
    <t xml:space="preserve">Droits et contributions pour frais de contrôle</t>
  </si>
  <si>
    <t xml:space="preserve">AMF - Autorité des marchés financiers</t>
  </si>
  <si>
    <t xml:space="preserve">Code monétaire et financier, art. L. 621-5-3</t>
  </si>
  <si>
    <t xml:space="preserve">Contributions versées par la SNCF au titre des frais de surveillance et de contrôle des chemins de fer</t>
  </si>
  <si>
    <t xml:space="preserve">Autres taxes</t>
  </si>
  <si>
    <t xml:space="preserve">Autres redevances et droits</t>
  </si>
  <si>
    <t xml:space="preserve">Contribution de sécurité immobilière</t>
  </si>
  <si>
    <t xml:space="preserve">Code général des impôts, art. 879</t>
  </si>
  <si>
    <t xml:space="preserve">Contribution vie étudiante et campus</t>
  </si>
  <si>
    <t xml:space="preserve">Etablissements publics d'enseignement supérieur, établissements mentionnés aux articles L. 443-1 et L. 753-1 du code de l’éducation ou à l'article L. 1431-1 du code général des collectivités territoriales dispensant des formations initiales d'enseignement supérieur, établissements d'enseignement supérieur privés d'intérêt général et centres régionaux des œuvres universitaires et scolaires</t>
  </si>
  <si>
    <t xml:space="preserve">Code de l'éducation, art. L. 841-5</t>
  </si>
  <si>
    <t xml:space="preserve">Droits perçus au profit de la Caisse nationale de l'assurance maladie des travailleurs salariés (CNAMTS) en matière de produits de santé, taxe annuelle due par les laboratoires de biologie médicale</t>
  </si>
  <si>
    <t xml:space="preserve">Code général des impôts, art. 1635 bis AE</t>
  </si>
  <si>
    <t xml:space="preserve">Taxe relative à la mise sur le marché des produits phytopharmaceutiques et de leurs adjuvants, des matières fertilisantes et de leurs adjuvants et des supports de culture</t>
  </si>
  <si>
    <t xml:space="preserve">Art. 130 de la loi n° 2006-1666 du 21 décembre 2006 de finances pour 2007</t>
  </si>
  <si>
    <t xml:space="preserve">Autres droits et recettes accessoires</t>
  </si>
  <si>
    <t xml:space="preserve">Redevance pour délivrance initiale du permis de chasse</t>
  </si>
  <si>
    <t xml:space="preserve">OFB - Office français de la biodiversité</t>
  </si>
  <si>
    <t xml:space="preserve">Code de l'environnement, art. R. 423-11</t>
  </si>
  <si>
    <t xml:space="preserve">Redevance perçue à l’occasion de l’introduction des familles étrangères en France</t>
  </si>
  <si>
    <t xml:space="preserve">OFII - Office français de l'immigration et de l'intégration</t>
  </si>
  <si>
    <t xml:space="preserve">Art. R. 434-35 du code de l’entrée et du séjour des étrangers et du droit d’asile</t>
  </si>
  <si>
    <t xml:space="preserve">Droit d'examen du permis de chasse</t>
  </si>
  <si>
    <t xml:space="preserve">Art. L. 423-6 du code de l’environnement</t>
  </si>
  <si>
    <t xml:space="preserve">Taxe sur l'autorisation d'exercice de l'activité d'exploitant d'établissement de spectacles cinématographiques</t>
  </si>
  <si>
    <t xml:space="preserve">Code des impositions sur les biens et services, art. L. 455-9</t>
  </si>
  <si>
    <t xml:space="preserve">Garantie des matières d'or et d'argent</t>
  </si>
  <si>
    <t xml:space="preserve">Chapitre II du titre III de la première partie du livre premier du code général des impôts — Garantie des matières d'or, d'argent et de platine</t>
  </si>
  <si>
    <t xml:space="preserve">Recettes issues de la mise aux enchères des "quotas carbone"</t>
  </si>
  <si>
    <t xml:space="preserve">hors champ</t>
  </si>
  <si>
    <t xml:space="preserve">8. Hors champ</t>
  </si>
  <si>
    <t xml:space="preserve">Produits non fiscaux portés aux documents budgétaires</t>
  </si>
  <si>
    <t xml:space="preserve">Hors champ</t>
  </si>
  <si>
    <t xml:space="preserve">ANAH - Agence nationale de l'habitat ; Autorités organisatrices de la mobilité et communes continuant à organiser un service de transport public</t>
  </si>
  <si>
    <t xml:space="preserve">Art. 43 de la loi n° 2012-1509 du 29 décembre 2012 de finances pour 2013 ; Art. 120 de la loi n° 2025-127 du 14 février 2025 de finances pour 2025</t>
  </si>
  <si>
    <t xml:space="preserve">Fraction des produits annuels de la vente de biens confisqués</t>
  </si>
  <si>
    <t xml:space="preserve">AGRASC - Agence de gestion et de recouvrement des avoirs saisis et confisqués</t>
  </si>
  <si>
    <t xml:space="preserve">Art. 706-163 du code de la procédure pénale</t>
  </si>
  <si>
    <t xml:space="preserve">Quote-part des intérêts servis par la Caisse des dépôts et consignations sur les fonds déposés</t>
  </si>
  <si>
    <t xml:space="preserve">FFDI - Fonds de financement des dossiers impécunieux</t>
  </si>
  <si>
    <t xml:space="preserve">Code de commerce, art. L. 663-3</t>
  </si>
  <si>
    <t xml:space="preserve">Prélèvements</t>
  </si>
  <si>
    <t xml:space="preserve">Rendement 2026 publié (M€)</t>
  </si>
  <si>
    <t xml:space="preserve">Part du rendement publié</t>
  </si>
  <si>
    <t xml:space="preserve">Total</t>
  </si>
  <si>
    <t xml:space="preserve">Impôt</t>
  </si>
  <si>
    <t xml:space="preserve">Prélèvements fondus par rattachement et maintenus en complément.</t>
  </si>
  <si>
    <t xml:space="preserve">Montant 2024 (Md€)</t>
  </si>
  <si>
    <t xml:space="preserve">Taxes à supprimer (Md€)</t>
  </si>
  <si>
    <t xml:space="preserve">dont fondus</t>
  </si>
  <si>
    <t xml:space="preserve">dont maintenus</t>
  </si>
  <si>
    <t xml:space="preserve">Rendement 2026 publié (Md€)</t>
  </si>
  <si>
    <t xml:space="preserve">TVA</t>
  </si>
  <si>
    <t xml:space="preserve">Taxes sur la consommation</t>
  </si>
  <si>
    <t xml:space="preserve">Dont énergie</t>
  </si>
  <si>
    <t xml:space="preserve">Dont alcool, tabac, jeux</t>
  </si>
  <si>
    <t xml:space="preserve">Dont assurances</t>
  </si>
  <si>
    <t xml:space="preserve">Dont redevances sur l'eau</t>
  </si>
  <si>
    <t xml:space="preserve">Dont services de transports</t>
  </si>
  <si>
    <t xml:space="preserve">Dont véhicules</t>
  </si>
  <si>
    <t xml:space="preserve">Dont numérique, spectacles</t>
  </si>
  <si>
    <t xml:space="preserve">Dont autres taxes sur les produits</t>
  </si>
  <si>
    <t xml:space="preserve">Dont taxe de séjour</t>
  </si>
  <si>
    <t xml:space="preserve">Dont taxe pollution</t>
  </si>
  <si>
    <t xml:space="preserve">Dont outre-mer</t>
  </si>
  <si>
    <t xml:space="preserve">Dont forfaits de cotisation</t>
  </si>
  <si>
    <t xml:space="preserve">IR net</t>
  </si>
  <si>
    <t xml:space="preserve">IS net</t>
  </si>
  <si>
    <t xml:space="preserve">Hors schéma — cotisations sociales à unifier</t>
  </si>
  <si>
    <t xml:space="preserve">Hors schéma — fondu par rattachement</t>
  </si>
  <si>
    <t xml:space="preserve">Hors schéma — hors champ</t>
  </si>
  <si>
    <t xml:space="preserve">Montants du schéma : produit 2024 des comptes nationaux (INSEE). Rendements du tri : ce que l’État publie pour 2026. Les deux ne se comparent pas terme à terme.</t>
  </si>
</sst>
</file>

<file path=xl/styles.xml><?xml version="1.0" encoding="utf-8"?>
<styleSheet xmlns="http://schemas.openxmlformats.org/spreadsheetml/2006/main">
  <numFmts count="3">
    <numFmt numFmtId="164" formatCode="General"/>
    <numFmt numFmtId="165" formatCode="#,##0.0"/>
    <numFmt numFmtId="166" formatCode="0.0%"/>
  </numFmts>
  <fonts count="6">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s>
  <fills count="3">
    <fill>
      <patternFill patternType="none"/>
    </fill>
    <fill>
      <patternFill patternType="gray125"/>
    </fill>
    <fill>
      <patternFill patternType="solid">
        <fgColor rgb="FFEEEEEE"/>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EEEEEE"/>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Tri" displayName="Tri" ref="A1:J421" headerRowCount="1" totalsRowCount="0" totalsRowShown="0">
  <autoFilter ref="A1:J421"/>
  <tableColumns count="10">
    <tableColumn id="1" name="Prélèvement"/>
    <tableColumn id="2" name="Nature"/>
    <tableColumn id="3" name="Assiette"/>
    <tableColumn id="4" name="Sous-catégorie"/>
    <tableColumn id="5" name="Poste du schéma de refonte"/>
    <tableColumn id="6" name="Sort"/>
    <tableColumn id="7" name="Impôt qui le reprend"/>
    <tableColumn id="8" name="Rendement 2026 (M€)"/>
    <tableColumn id="9" name="Bénéficiaire"/>
    <tableColumn id="10" name="Siège juridiqu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9"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8.35" hidden="false" customHeight="false" outlineLevel="0" collapsed="false">
      <c r="A5" s="2" t="s">
        <v>3</v>
      </c>
    </row>
    <row r="6" customFormat="false" ht="28.35" hidden="false" customHeight="false" outlineLevel="0" collapsed="false">
      <c r="A6" s="2" t="s">
        <v>4</v>
      </c>
    </row>
    <row r="7" customFormat="false" ht="28.3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28.35" hidden="false" customHeight="false" outlineLevel="0" collapsed="false">
      <c r="A13" s="2" t="s">
        <v>10</v>
      </c>
    </row>
    <row r="14" customFormat="false" ht="28.3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41.75" hidden="false" customHeight="false" outlineLevel="0" collapsed="false">
      <c r="A18" s="2" t="s">
        <v>14</v>
      </c>
    </row>
    <row r="19" customFormat="false" ht="15" hidden="false" customHeight="false" outlineLevel="0" collapsed="false">
      <c r="A19"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 collapsed="false" customWidth="true" hidden="false" outlineLevel="0" max="3" min="3" style="0" width="30"/>
    <col collapsed="false" customWidth="true" hidden="false" outlineLevel="0" max="4" min="4" style="0" width="34"/>
    <col collapsed="false" customWidth="true" hidden="false" outlineLevel="0" max="5" min="5" style="0" width="26"/>
    <col collapsed="false" customWidth="true" hidden="false" outlineLevel="0" max="6" min="6" style="0" width="22"/>
    <col collapsed="false" customWidth="true" hidden="false" outlineLevel="0" max="7" min="7" style="0" width="26"/>
    <col collapsed="false" customWidth="true" hidden="false" outlineLevel="0" max="8" min="8" style="0" width="14"/>
    <col collapsed="false" customWidth="true" hidden="false" outlineLevel="0" max="9" min="9" style="0" width="40"/>
    <col collapsed="false" customWidth="true" hidden="false" outlineLevel="0" max="10" min="10" style="0" width="30"/>
  </cols>
  <sheetData>
    <row r="1" customFormat="false" ht="41.75" hidden="false" customHeight="false" outlineLevel="0" collapsed="false">
      <c r="A1" s="4" t="s">
        <v>16</v>
      </c>
      <c r="B1" s="4" t="s">
        <v>17</v>
      </c>
      <c r="C1" s="4" t="s">
        <v>18</v>
      </c>
      <c r="D1" s="4" t="s">
        <v>19</v>
      </c>
      <c r="E1" s="4" t="s">
        <v>20</v>
      </c>
      <c r="F1" s="4" t="s">
        <v>21</v>
      </c>
      <c r="G1" s="4" t="s">
        <v>22</v>
      </c>
      <c r="H1" s="4" t="s">
        <v>23</v>
      </c>
      <c r="I1" s="4" t="s">
        <v>24</v>
      </c>
      <c r="J1" s="4" t="s">
        <v>25</v>
      </c>
    </row>
    <row r="2" customFormat="false" ht="15" hidden="false" customHeight="false" outlineLevel="0" collapsed="false">
      <c r="A2" s="0" t="s">
        <v>26</v>
      </c>
      <c r="B2" s="0" t="s">
        <v>27</v>
      </c>
      <c r="C2" s="0" t="s">
        <v>28</v>
      </c>
      <c r="D2" s="0" t="s">
        <v>29</v>
      </c>
      <c r="F2" s="0" t="s">
        <v>30</v>
      </c>
      <c r="H2" s="5" t="n">
        <v>691.8</v>
      </c>
      <c r="I2" s="6" t="s">
        <v>31</v>
      </c>
      <c r="J2" s="6" t="s">
        <v>32</v>
      </c>
    </row>
    <row r="3" customFormat="false" ht="15" hidden="false" customHeight="false" outlineLevel="0" collapsed="false">
      <c r="A3" s="0" t="s">
        <v>33</v>
      </c>
      <c r="B3" s="0" t="s">
        <v>27</v>
      </c>
      <c r="C3" s="0" t="s">
        <v>28</v>
      </c>
      <c r="D3" s="0" t="s">
        <v>29</v>
      </c>
      <c r="F3" s="0" t="s">
        <v>30</v>
      </c>
      <c r="H3" s="5" t="n">
        <v>413</v>
      </c>
      <c r="I3" s="6" t="s">
        <v>34</v>
      </c>
      <c r="J3" s="6" t="s">
        <v>35</v>
      </c>
    </row>
    <row r="4" customFormat="false" ht="15" hidden="false" customHeight="false" outlineLevel="0" collapsed="false">
      <c r="A4" s="0" t="s">
        <v>36</v>
      </c>
      <c r="B4" s="0" t="s">
        <v>27</v>
      </c>
      <c r="C4" s="0" t="s">
        <v>28</v>
      </c>
      <c r="D4" s="0" t="s">
        <v>29</v>
      </c>
      <c r="F4" s="0" t="s">
        <v>30</v>
      </c>
      <c r="H4" s="5"/>
      <c r="J4" s="6" t="s">
        <v>37</v>
      </c>
    </row>
    <row r="5" customFormat="false" ht="15" hidden="false" customHeight="false" outlineLevel="0" collapsed="false">
      <c r="A5" s="0" t="s">
        <v>38</v>
      </c>
      <c r="B5" s="0" t="s">
        <v>27</v>
      </c>
      <c r="C5" s="0" t="s">
        <v>28</v>
      </c>
      <c r="D5" s="0" t="s">
        <v>29</v>
      </c>
      <c r="F5" s="0" t="s">
        <v>30</v>
      </c>
      <c r="H5" s="5"/>
      <c r="J5" s="6" t="s">
        <v>37</v>
      </c>
    </row>
    <row r="6" customFormat="false" ht="15" hidden="false" customHeight="false" outlineLevel="0" collapsed="false">
      <c r="A6" s="0" t="s">
        <v>39</v>
      </c>
      <c r="B6" s="0" t="s">
        <v>27</v>
      </c>
      <c r="C6" s="0" t="s">
        <v>28</v>
      </c>
      <c r="D6" s="0" t="s">
        <v>29</v>
      </c>
      <c r="F6" s="0" t="s">
        <v>30</v>
      </c>
      <c r="H6" s="5"/>
      <c r="J6" s="6" t="s">
        <v>37</v>
      </c>
    </row>
    <row r="7" customFormat="false" ht="15" hidden="false" customHeight="false" outlineLevel="0" collapsed="false">
      <c r="A7" s="0" t="s">
        <v>40</v>
      </c>
      <c r="B7" s="0" t="s">
        <v>41</v>
      </c>
      <c r="C7" s="0" t="s">
        <v>42</v>
      </c>
      <c r="D7" s="0" t="s">
        <v>43</v>
      </c>
      <c r="E7" s="0" t="s">
        <v>44</v>
      </c>
      <c r="F7" s="0" t="s">
        <v>45</v>
      </c>
      <c r="H7" s="5"/>
      <c r="J7" s="6" t="s">
        <v>46</v>
      </c>
    </row>
    <row r="8" customFormat="false" ht="15" hidden="false" customHeight="false" outlineLevel="0" collapsed="false">
      <c r="A8" s="0" t="s">
        <v>47</v>
      </c>
      <c r="B8" s="0" t="s">
        <v>27</v>
      </c>
      <c r="C8" s="0" t="s">
        <v>28</v>
      </c>
      <c r="D8" s="0" t="s">
        <v>29</v>
      </c>
      <c r="F8" s="0" t="s">
        <v>30</v>
      </c>
      <c r="H8" s="5"/>
      <c r="I8" s="6" t="s">
        <v>48</v>
      </c>
      <c r="J8" s="6" t="s">
        <v>49</v>
      </c>
    </row>
    <row r="9" customFormat="false" ht="15" hidden="false" customHeight="false" outlineLevel="0" collapsed="false">
      <c r="A9" s="0" t="s">
        <v>50</v>
      </c>
      <c r="B9" s="0" t="s">
        <v>27</v>
      </c>
      <c r="C9" s="0" t="s">
        <v>28</v>
      </c>
      <c r="D9" s="0" t="s">
        <v>29</v>
      </c>
      <c r="F9" s="0" t="s">
        <v>30</v>
      </c>
      <c r="H9" s="5"/>
      <c r="J9" s="6" t="s">
        <v>51</v>
      </c>
    </row>
    <row r="10" customFormat="false" ht="15" hidden="false" customHeight="false" outlineLevel="0" collapsed="false">
      <c r="A10" s="0" t="s">
        <v>52</v>
      </c>
      <c r="B10" s="0" t="s">
        <v>27</v>
      </c>
      <c r="C10" s="0" t="s">
        <v>28</v>
      </c>
      <c r="D10" s="0" t="s">
        <v>29</v>
      </c>
      <c r="F10" s="0" t="s">
        <v>30</v>
      </c>
      <c r="H10" s="5"/>
      <c r="J10" s="6" t="s">
        <v>53</v>
      </c>
    </row>
    <row r="11" customFormat="false" ht="15" hidden="false" customHeight="false" outlineLevel="0" collapsed="false">
      <c r="A11" s="0" t="s">
        <v>54</v>
      </c>
      <c r="B11" s="0" t="s">
        <v>27</v>
      </c>
      <c r="C11" s="0" t="s">
        <v>28</v>
      </c>
      <c r="D11" s="0" t="s">
        <v>29</v>
      </c>
      <c r="F11" s="0" t="s">
        <v>30</v>
      </c>
      <c r="H11" s="5"/>
      <c r="J11" s="6" t="s">
        <v>53</v>
      </c>
    </row>
    <row r="12" customFormat="false" ht="15" hidden="false" customHeight="false" outlineLevel="0" collapsed="false">
      <c r="A12" s="0" t="s">
        <v>55</v>
      </c>
      <c r="B12" s="0" t="s">
        <v>27</v>
      </c>
      <c r="C12" s="0" t="s">
        <v>28</v>
      </c>
      <c r="D12" s="0" t="s">
        <v>29</v>
      </c>
      <c r="F12" s="0" t="s">
        <v>30</v>
      </c>
      <c r="H12" s="5"/>
      <c r="J12" s="6" t="s">
        <v>53</v>
      </c>
    </row>
    <row r="13" customFormat="false" ht="15" hidden="false" customHeight="false" outlineLevel="0" collapsed="false">
      <c r="A13" s="0" t="s">
        <v>56</v>
      </c>
      <c r="B13" s="0" t="s">
        <v>41</v>
      </c>
      <c r="C13" s="0" t="s">
        <v>42</v>
      </c>
      <c r="D13" s="0" t="s">
        <v>43</v>
      </c>
      <c r="E13" s="0" t="s">
        <v>44</v>
      </c>
      <c r="F13" s="0" t="s">
        <v>45</v>
      </c>
      <c r="H13" s="5" t="n">
        <v>895</v>
      </c>
      <c r="I13" s="6" t="s">
        <v>57</v>
      </c>
      <c r="J13" s="6" t="s">
        <v>58</v>
      </c>
    </row>
    <row r="14" customFormat="false" ht="15" hidden="false" customHeight="false" outlineLevel="0" collapsed="false">
      <c r="A14" s="0" t="s">
        <v>59</v>
      </c>
      <c r="B14" s="0" t="s">
        <v>27</v>
      </c>
      <c r="C14" s="0" t="s">
        <v>28</v>
      </c>
      <c r="D14" s="0" t="s">
        <v>60</v>
      </c>
      <c r="F14" s="0" t="s">
        <v>30</v>
      </c>
      <c r="H14" s="5" t="n">
        <v>179</v>
      </c>
      <c r="I14" s="6" t="s">
        <v>57</v>
      </c>
      <c r="J14" s="6" t="s">
        <v>61</v>
      </c>
    </row>
    <row r="15" customFormat="false" ht="15" hidden="false" customHeight="false" outlineLevel="0" collapsed="false">
      <c r="A15" s="0" t="s">
        <v>62</v>
      </c>
      <c r="B15" s="0" t="s">
        <v>27</v>
      </c>
      <c r="C15" s="0" t="s">
        <v>28</v>
      </c>
      <c r="D15" s="0" t="s">
        <v>60</v>
      </c>
      <c r="F15" s="0" t="s">
        <v>30</v>
      </c>
      <c r="H15" s="5" t="n">
        <v>34</v>
      </c>
      <c r="I15" s="6" t="s">
        <v>57</v>
      </c>
      <c r="J15" s="6" t="s">
        <v>63</v>
      </c>
    </row>
    <row r="16" customFormat="false" ht="15" hidden="false" customHeight="false" outlineLevel="0" collapsed="false">
      <c r="A16" s="0" t="s">
        <v>64</v>
      </c>
      <c r="B16" s="0" t="s">
        <v>27</v>
      </c>
      <c r="C16" s="0" t="s">
        <v>28</v>
      </c>
      <c r="D16" s="0" t="s">
        <v>60</v>
      </c>
      <c r="F16" s="0" t="s">
        <v>30</v>
      </c>
      <c r="H16" s="5"/>
      <c r="J16" s="6" t="s">
        <v>51</v>
      </c>
    </row>
    <row r="17" customFormat="false" ht="15" hidden="false" customHeight="false" outlineLevel="0" collapsed="false">
      <c r="A17" s="0" t="s">
        <v>65</v>
      </c>
      <c r="B17" s="0" t="s">
        <v>27</v>
      </c>
      <c r="C17" s="0" t="s">
        <v>28</v>
      </c>
      <c r="D17" s="0" t="s">
        <v>60</v>
      </c>
      <c r="F17" s="0" t="s">
        <v>30</v>
      </c>
      <c r="H17" s="5"/>
      <c r="J17" s="6" t="s">
        <v>51</v>
      </c>
    </row>
    <row r="18" customFormat="false" ht="15" hidden="false" customHeight="false" outlineLevel="0" collapsed="false">
      <c r="A18" s="0" t="s">
        <v>66</v>
      </c>
      <c r="B18" s="0" t="s">
        <v>27</v>
      </c>
      <c r="C18" s="0" t="s">
        <v>28</v>
      </c>
      <c r="D18" s="0" t="s">
        <v>60</v>
      </c>
      <c r="F18" s="0" t="s">
        <v>30</v>
      </c>
      <c r="H18" s="5"/>
      <c r="J18" s="6" t="s">
        <v>67</v>
      </c>
    </row>
    <row r="19" customFormat="false" ht="15" hidden="false" customHeight="false" outlineLevel="0" collapsed="false">
      <c r="A19" s="0" t="s">
        <v>68</v>
      </c>
      <c r="B19" s="0" t="s">
        <v>27</v>
      </c>
      <c r="C19" s="0" t="s">
        <v>28</v>
      </c>
      <c r="D19" s="0" t="s">
        <v>60</v>
      </c>
      <c r="F19" s="0" t="s">
        <v>30</v>
      </c>
      <c r="H19" s="5"/>
      <c r="J19" s="6" t="s">
        <v>51</v>
      </c>
    </row>
    <row r="20" customFormat="false" ht="15" hidden="false" customHeight="false" outlineLevel="0" collapsed="false">
      <c r="A20" s="0" t="s">
        <v>69</v>
      </c>
      <c r="B20" s="0" t="s">
        <v>27</v>
      </c>
      <c r="C20" s="0" t="s">
        <v>28</v>
      </c>
      <c r="D20" s="0" t="s">
        <v>60</v>
      </c>
      <c r="F20" s="0" t="s">
        <v>30</v>
      </c>
      <c r="H20" s="5"/>
      <c r="J20" s="6" t="s">
        <v>46</v>
      </c>
    </row>
    <row r="21" customFormat="false" ht="15" hidden="false" customHeight="false" outlineLevel="0" collapsed="false">
      <c r="A21" s="0" t="s">
        <v>70</v>
      </c>
      <c r="B21" s="0" t="s">
        <v>27</v>
      </c>
      <c r="C21" s="0" t="s">
        <v>28</v>
      </c>
      <c r="D21" s="0" t="s">
        <v>60</v>
      </c>
      <c r="F21" s="0" t="s">
        <v>30</v>
      </c>
      <c r="H21" s="5"/>
      <c r="J21" s="6" t="s">
        <v>53</v>
      </c>
    </row>
    <row r="22" customFormat="false" ht="15" hidden="false" customHeight="false" outlineLevel="0" collapsed="false">
      <c r="A22" s="0" t="s">
        <v>71</v>
      </c>
      <c r="B22" s="0" t="s">
        <v>27</v>
      </c>
      <c r="C22" s="0" t="s">
        <v>28</v>
      </c>
      <c r="D22" s="0" t="s">
        <v>60</v>
      </c>
      <c r="F22" s="0" t="s">
        <v>30</v>
      </c>
      <c r="H22" s="5"/>
      <c r="J22" s="6" t="s">
        <v>67</v>
      </c>
    </row>
    <row r="23" customFormat="false" ht="15" hidden="false" customHeight="false" outlineLevel="0" collapsed="false">
      <c r="A23" s="0" t="s">
        <v>72</v>
      </c>
      <c r="B23" s="0" t="s">
        <v>27</v>
      </c>
      <c r="C23" s="0" t="s">
        <v>28</v>
      </c>
      <c r="D23" s="0" t="s">
        <v>60</v>
      </c>
      <c r="F23" s="0" t="s">
        <v>30</v>
      </c>
      <c r="H23" s="5"/>
      <c r="J23" s="6" t="s">
        <v>53</v>
      </c>
    </row>
    <row r="24" customFormat="false" ht="15" hidden="false" customHeight="false" outlineLevel="0" collapsed="false">
      <c r="A24" s="0" t="s">
        <v>73</v>
      </c>
      <c r="B24" s="0" t="s">
        <v>27</v>
      </c>
      <c r="C24" s="0" t="s">
        <v>28</v>
      </c>
      <c r="D24" s="0" t="s">
        <v>60</v>
      </c>
      <c r="F24" s="0" t="s">
        <v>30</v>
      </c>
      <c r="H24" s="5"/>
      <c r="J24" s="6" t="s">
        <v>67</v>
      </c>
    </row>
    <row r="25" customFormat="false" ht="15" hidden="false" customHeight="false" outlineLevel="0" collapsed="false">
      <c r="A25" s="0" t="s">
        <v>74</v>
      </c>
      <c r="B25" s="0" t="s">
        <v>27</v>
      </c>
      <c r="C25" s="0" t="s">
        <v>28</v>
      </c>
      <c r="D25" s="0" t="s">
        <v>60</v>
      </c>
      <c r="F25" s="0" t="s">
        <v>30</v>
      </c>
      <c r="H25" s="5"/>
      <c r="J25" s="6" t="s">
        <v>67</v>
      </c>
    </row>
    <row r="26" customFormat="false" ht="15" hidden="false" customHeight="false" outlineLevel="0" collapsed="false">
      <c r="A26" s="0" t="s">
        <v>75</v>
      </c>
      <c r="B26" s="0" t="s">
        <v>27</v>
      </c>
      <c r="C26" s="0" t="s">
        <v>28</v>
      </c>
      <c r="D26" s="0" t="s">
        <v>60</v>
      </c>
      <c r="F26" s="0" t="s">
        <v>30</v>
      </c>
      <c r="H26" s="5"/>
      <c r="J26" s="6" t="s">
        <v>67</v>
      </c>
    </row>
    <row r="27" customFormat="false" ht="15" hidden="false" customHeight="false" outlineLevel="0" collapsed="false">
      <c r="A27" s="0" t="s">
        <v>76</v>
      </c>
      <c r="B27" s="0" t="s">
        <v>27</v>
      </c>
      <c r="C27" s="0" t="s">
        <v>28</v>
      </c>
      <c r="D27" s="0" t="s">
        <v>60</v>
      </c>
      <c r="F27" s="0" t="s">
        <v>30</v>
      </c>
      <c r="H27" s="5"/>
      <c r="J27" s="6" t="s">
        <v>67</v>
      </c>
    </row>
    <row r="28" customFormat="false" ht="15" hidden="false" customHeight="false" outlineLevel="0" collapsed="false">
      <c r="A28" s="0" t="s">
        <v>77</v>
      </c>
      <c r="B28" s="0" t="s">
        <v>27</v>
      </c>
      <c r="C28" s="0" t="s">
        <v>28</v>
      </c>
      <c r="D28" s="0" t="s">
        <v>60</v>
      </c>
      <c r="F28" s="0" t="s">
        <v>30</v>
      </c>
      <c r="H28" s="5"/>
      <c r="J28" s="6" t="s">
        <v>67</v>
      </c>
    </row>
    <row r="29" customFormat="false" ht="15" hidden="false" customHeight="false" outlineLevel="0" collapsed="false">
      <c r="A29" s="0" t="s">
        <v>78</v>
      </c>
      <c r="B29" s="0" t="s">
        <v>27</v>
      </c>
      <c r="C29" s="0" t="s">
        <v>28</v>
      </c>
      <c r="D29" s="0" t="s">
        <v>60</v>
      </c>
      <c r="F29" s="0" t="s">
        <v>30</v>
      </c>
      <c r="H29" s="5"/>
      <c r="J29" s="6" t="s">
        <v>67</v>
      </c>
    </row>
    <row r="30" customFormat="false" ht="15" hidden="false" customHeight="false" outlineLevel="0" collapsed="false">
      <c r="A30" s="0" t="s">
        <v>79</v>
      </c>
      <c r="B30" s="0" t="s">
        <v>27</v>
      </c>
      <c r="C30" s="0" t="s">
        <v>28</v>
      </c>
      <c r="D30" s="0" t="s">
        <v>60</v>
      </c>
      <c r="F30" s="0" t="s">
        <v>30</v>
      </c>
      <c r="H30" s="5"/>
      <c r="J30" s="6" t="s">
        <v>51</v>
      </c>
    </row>
    <row r="31" customFormat="false" ht="15" hidden="false" customHeight="false" outlineLevel="0" collapsed="false">
      <c r="A31" s="0" t="s">
        <v>80</v>
      </c>
      <c r="B31" s="0" t="s">
        <v>27</v>
      </c>
      <c r="C31" s="0" t="s">
        <v>28</v>
      </c>
      <c r="D31" s="0" t="s">
        <v>60</v>
      </c>
      <c r="F31" s="0" t="s">
        <v>30</v>
      </c>
      <c r="H31" s="5"/>
      <c r="J31" s="6" t="s">
        <v>53</v>
      </c>
    </row>
    <row r="32" customFormat="false" ht="15" hidden="false" customHeight="false" outlineLevel="0" collapsed="false">
      <c r="A32" s="0" t="s">
        <v>81</v>
      </c>
      <c r="B32" s="0" t="s">
        <v>27</v>
      </c>
      <c r="C32" s="0" t="s">
        <v>28</v>
      </c>
      <c r="D32" s="0" t="s">
        <v>60</v>
      </c>
      <c r="F32" s="0" t="s">
        <v>30</v>
      </c>
      <c r="H32" s="5"/>
      <c r="J32" s="6" t="s">
        <v>53</v>
      </c>
    </row>
    <row r="33" customFormat="false" ht="15" hidden="false" customHeight="false" outlineLevel="0" collapsed="false">
      <c r="A33" s="0" t="s">
        <v>82</v>
      </c>
      <c r="B33" s="0" t="s">
        <v>27</v>
      </c>
      <c r="C33" s="0" t="s">
        <v>28</v>
      </c>
      <c r="D33" s="0" t="s">
        <v>60</v>
      </c>
      <c r="F33" s="0" t="s">
        <v>30</v>
      </c>
      <c r="H33" s="5"/>
      <c r="J33" s="6" t="s">
        <v>53</v>
      </c>
    </row>
    <row r="34" customFormat="false" ht="15" hidden="false" customHeight="false" outlineLevel="0" collapsed="false">
      <c r="A34" s="0" t="s">
        <v>83</v>
      </c>
      <c r="B34" s="0" t="s">
        <v>27</v>
      </c>
      <c r="C34" s="0" t="s">
        <v>28</v>
      </c>
      <c r="D34" s="0" t="s">
        <v>60</v>
      </c>
      <c r="F34" s="0" t="s">
        <v>30</v>
      </c>
      <c r="H34" s="5"/>
      <c r="J34" s="6" t="s">
        <v>53</v>
      </c>
    </row>
    <row r="35" customFormat="false" ht="15" hidden="false" customHeight="false" outlineLevel="0" collapsed="false">
      <c r="A35" s="0" t="s">
        <v>84</v>
      </c>
      <c r="B35" s="0" t="s">
        <v>27</v>
      </c>
      <c r="C35" s="0" t="s">
        <v>28</v>
      </c>
      <c r="D35" s="0" t="s">
        <v>60</v>
      </c>
      <c r="F35" s="0" t="s">
        <v>30</v>
      </c>
      <c r="H35" s="5"/>
      <c r="J35" s="6" t="s">
        <v>53</v>
      </c>
    </row>
    <row r="36" customFormat="false" ht="15" hidden="false" customHeight="false" outlineLevel="0" collapsed="false">
      <c r="A36" s="0" t="s">
        <v>85</v>
      </c>
      <c r="B36" s="0" t="s">
        <v>27</v>
      </c>
      <c r="C36" s="0" t="s">
        <v>28</v>
      </c>
      <c r="D36" s="0" t="s">
        <v>60</v>
      </c>
      <c r="F36" s="0" t="s">
        <v>30</v>
      </c>
      <c r="H36" s="5"/>
      <c r="J36" s="6" t="s">
        <v>53</v>
      </c>
    </row>
    <row r="37" customFormat="false" ht="15" hidden="false" customHeight="false" outlineLevel="0" collapsed="false">
      <c r="A37" s="0" t="s">
        <v>86</v>
      </c>
      <c r="B37" s="0" t="s">
        <v>27</v>
      </c>
      <c r="C37" s="0" t="s">
        <v>28</v>
      </c>
      <c r="D37" s="0" t="s">
        <v>60</v>
      </c>
      <c r="F37" s="0" t="s">
        <v>30</v>
      </c>
      <c r="H37" s="5"/>
      <c r="J37" s="6" t="s">
        <v>53</v>
      </c>
    </row>
    <row r="38" customFormat="false" ht="15" hidden="false" customHeight="false" outlineLevel="0" collapsed="false">
      <c r="A38" s="0" t="s">
        <v>87</v>
      </c>
      <c r="B38" s="0" t="s">
        <v>27</v>
      </c>
      <c r="C38" s="0" t="s">
        <v>28</v>
      </c>
      <c r="D38" s="0" t="s">
        <v>60</v>
      </c>
      <c r="F38" s="0" t="s">
        <v>30</v>
      </c>
      <c r="H38" s="5"/>
      <c r="J38" s="6" t="s">
        <v>67</v>
      </c>
    </row>
    <row r="39" customFormat="false" ht="15" hidden="false" customHeight="false" outlineLevel="0" collapsed="false">
      <c r="A39" s="0" t="s">
        <v>88</v>
      </c>
      <c r="B39" s="0" t="s">
        <v>27</v>
      </c>
      <c r="C39" s="0" t="s">
        <v>28</v>
      </c>
      <c r="D39" s="0" t="s">
        <v>89</v>
      </c>
      <c r="F39" s="0" t="s">
        <v>30</v>
      </c>
      <c r="H39" s="5"/>
      <c r="J39" s="6" t="s">
        <v>67</v>
      </c>
    </row>
    <row r="40" customFormat="false" ht="15" hidden="false" customHeight="false" outlineLevel="0" collapsed="false">
      <c r="A40" s="0" t="s">
        <v>90</v>
      </c>
      <c r="B40" s="0" t="s">
        <v>27</v>
      </c>
      <c r="C40" s="0" t="s">
        <v>28</v>
      </c>
      <c r="D40" s="0" t="s">
        <v>89</v>
      </c>
      <c r="F40" s="0" t="s">
        <v>30</v>
      </c>
      <c r="H40" s="5"/>
      <c r="J40" s="6" t="s">
        <v>67</v>
      </c>
    </row>
    <row r="41" customFormat="false" ht="15" hidden="false" customHeight="false" outlineLevel="0" collapsed="false">
      <c r="A41" s="0" t="s">
        <v>91</v>
      </c>
      <c r="B41" s="0" t="s">
        <v>27</v>
      </c>
      <c r="C41" s="0" t="s">
        <v>28</v>
      </c>
      <c r="D41" s="0" t="s">
        <v>89</v>
      </c>
      <c r="F41" s="0" t="s">
        <v>30</v>
      </c>
      <c r="H41" s="5"/>
      <c r="J41" s="6" t="s">
        <v>67</v>
      </c>
    </row>
    <row r="42" customFormat="false" ht="15" hidden="false" customHeight="false" outlineLevel="0" collapsed="false">
      <c r="A42" s="0" t="s">
        <v>92</v>
      </c>
      <c r="B42" s="0" t="s">
        <v>27</v>
      </c>
      <c r="C42" s="0" t="s">
        <v>28</v>
      </c>
      <c r="D42" s="0" t="s">
        <v>89</v>
      </c>
      <c r="F42" s="0" t="s">
        <v>30</v>
      </c>
      <c r="H42" s="5"/>
      <c r="J42" s="6" t="s">
        <v>67</v>
      </c>
    </row>
    <row r="43" customFormat="false" ht="15" hidden="false" customHeight="false" outlineLevel="0" collapsed="false">
      <c r="A43" s="0" t="s">
        <v>93</v>
      </c>
      <c r="B43" s="0" t="s">
        <v>27</v>
      </c>
      <c r="C43" s="0" t="s">
        <v>28</v>
      </c>
      <c r="D43" s="0" t="s">
        <v>89</v>
      </c>
      <c r="F43" s="0" t="s">
        <v>30</v>
      </c>
      <c r="H43" s="5"/>
      <c r="J43" s="6" t="s">
        <v>67</v>
      </c>
    </row>
    <row r="44" customFormat="false" ht="15" hidden="false" customHeight="false" outlineLevel="0" collapsed="false">
      <c r="A44" s="0" t="s">
        <v>94</v>
      </c>
      <c r="B44" s="0" t="s">
        <v>27</v>
      </c>
      <c r="C44" s="0" t="s">
        <v>28</v>
      </c>
      <c r="D44" s="0" t="s">
        <v>89</v>
      </c>
      <c r="F44" s="0" t="s">
        <v>30</v>
      </c>
      <c r="H44" s="5"/>
      <c r="I44" s="6" t="s">
        <v>95</v>
      </c>
      <c r="J44" s="6" t="s">
        <v>96</v>
      </c>
    </row>
    <row r="45" customFormat="false" ht="15" hidden="false" customHeight="false" outlineLevel="0" collapsed="false">
      <c r="A45" s="0" t="s">
        <v>97</v>
      </c>
      <c r="B45" s="0" t="s">
        <v>27</v>
      </c>
      <c r="C45" s="0" t="s">
        <v>28</v>
      </c>
      <c r="D45" s="0" t="s">
        <v>89</v>
      </c>
      <c r="F45" s="0" t="s">
        <v>30</v>
      </c>
      <c r="H45" s="5"/>
      <c r="J45" s="6" t="s">
        <v>67</v>
      </c>
    </row>
    <row r="46" customFormat="false" ht="15" hidden="false" customHeight="false" outlineLevel="0" collapsed="false">
      <c r="A46" s="0" t="s">
        <v>98</v>
      </c>
      <c r="B46" s="0" t="s">
        <v>27</v>
      </c>
      <c r="C46" s="0" t="s">
        <v>28</v>
      </c>
      <c r="D46" s="0" t="s">
        <v>89</v>
      </c>
      <c r="F46" s="0" t="s">
        <v>30</v>
      </c>
      <c r="H46" s="5"/>
      <c r="J46" s="6" t="s">
        <v>67</v>
      </c>
    </row>
    <row r="47" customFormat="false" ht="15" hidden="false" customHeight="false" outlineLevel="0" collapsed="false">
      <c r="A47" s="0" t="s">
        <v>99</v>
      </c>
      <c r="B47" s="0" t="s">
        <v>27</v>
      </c>
      <c r="C47" s="0" t="s">
        <v>28</v>
      </c>
      <c r="D47" s="0" t="s">
        <v>89</v>
      </c>
      <c r="F47" s="0" t="s">
        <v>30</v>
      </c>
      <c r="H47" s="5"/>
      <c r="J47" s="6" t="s">
        <v>67</v>
      </c>
    </row>
    <row r="48" customFormat="false" ht="15" hidden="false" customHeight="false" outlineLevel="0" collapsed="false">
      <c r="A48" s="0" t="s">
        <v>100</v>
      </c>
      <c r="B48" s="0" t="s">
        <v>27</v>
      </c>
      <c r="C48" s="0" t="s">
        <v>28</v>
      </c>
      <c r="D48" s="0" t="s">
        <v>89</v>
      </c>
      <c r="F48" s="0" t="s">
        <v>30</v>
      </c>
      <c r="H48" s="5"/>
      <c r="J48" s="6" t="s">
        <v>67</v>
      </c>
    </row>
    <row r="49" customFormat="false" ht="15" hidden="false" customHeight="false" outlineLevel="0" collapsed="false">
      <c r="A49" s="0" t="s">
        <v>101</v>
      </c>
      <c r="B49" s="0" t="s">
        <v>27</v>
      </c>
      <c r="C49" s="0" t="s">
        <v>28</v>
      </c>
      <c r="D49" s="0" t="s">
        <v>89</v>
      </c>
      <c r="F49" s="0" t="s">
        <v>30</v>
      </c>
      <c r="H49" s="5"/>
      <c r="J49" s="6" t="s">
        <v>51</v>
      </c>
    </row>
    <row r="50" customFormat="false" ht="15" hidden="false" customHeight="false" outlineLevel="0" collapsed="false">
      <c r="A50" s="0" t="s">
        <v>102</v>
      </c>
      <c r="B50" s="0" t="s">
        <v>27</v>
      </c>
      <c r="C50" s="0" t="s">
        <v>28</v>
      </c>
      <c r="D50" s="0" t="s">
        <v>89</v>
      </c>
      <c r="F50" s="0" t="s">
        <v>30</v>
      </c>
      <c r="H50" s="5"/>
      <c r="J50" s="6" t="s">
        <v>67</v>
      </c>
    </row>
    <row r="51" customFormat="false" ht="15" hidden="false" customHeight="false" outlineLevel="0" collapsed="false">
      <c r="A51" s="0" t="s">
        <v>103</v>
      </c>
      <c r="B51" s="0" t="s">
        <v>27</v>
      </c>
      <c r="C51" s="0" t="s">
        <v>28</v>
      </c>
      <c r="D51" s="0" t="s">
        <v>89</v>
      </c>
      <c r="F51" s="0" t="s">
        <v>30</v>
      </c>
      <c r="H51" s="5"/>
      <c r="J51" s="6" t="s">
        <v>51</v>
      </c>
    </row>
    <row r="52" customFormat="false" ht="15" hidden="false" customHeight="false" outlineLevel="0" collapsed="false">
      <c r="A52" s="0" t="s">
        <v>104</v>
      </c>
      <c r="B52" s="0" t="s">
        <v>27</v>
      </c>
      <c r="C52" s="0" t="s">
        <v>28</v>
      </c>
      <c r="D52" s="0" t="s">
        <v>89</v>
      </c>
      <c r="F52" s="0" t="s">
        <v>30</v>
      </c>
      <c r="H52" s="5"/>
      <c r="J52" s="6" t="s">
        <v>51</v>
      </c>
    </row>
    <row r="53" customFormat="false" ht="15" hidden="false" customHeight="false" outlineLevel="0" collapsed="false">
      <c r="A53" s="0" t="s">
        <v>105</v>
      </c>
      <c r="B53" s="0" t="s">
        <v>27</v>
      </c>
      <c r="C53" s="0" t="s">
        <v>28</v>
      </c>
      <c r="D53" s="0" t="s">
        <v>89</v>
      </c>
      <c r="F53" s="0" t="s">
        <v>30</v>
      </c>
      <c r="H53" s="5"/>
      <c r="J53" s="6" t="s">
        <v>51</v>
      </c>
    </row>
    <row r="54" customFormat="false" ht="15" hidden="false" customHeight="false" outlineLevel="0" collapsed="false">
      <c r="A54" s="0" t="s">
        <v>106</v>
      </c>
      <c r="B54" s="0" t="s">
        <v>27</v>
      </c>
      <c r="C54" s="0" t="s">
        <v>28</v>
      </c>
      <c r="D54" s="0" t="s">
        <v>89</v>
      </c>
      <c r="F54" s="0" t="s">
        <v>30</v>
      </c>
      <c r="H54" s="5"/>
      <c r="J54" s="6" t="s">
        <v>51</v>
      </c>
    </row>
    <row r="55" customFormat="false" ht="15" hidden="false" customHeight="false" outlineLevel="0" collapsed="false">
      <c r="A55" s="0" t="s">
        <v>107</v>
      </c>
      <c r="B55" s="0" t="s">
        <v>27</v>
      </c>
      <c r="C55" s="0" t="s">
        <v>28</v>
      </c>
      <c r="D55" s="0" t="s">
        <v>89</v>
      </c>
      <c r="F55" s="0" t="s">
        <v>30</v>
      </c>
      <c r="H55" s="5"/>
      <c r="J55" s="6" t="s">
        <v>51</v>
      </c>
    </row>
    <row r="56" customFormat="false" ht="15" hidden="false" customHeight="false" outlineLevel="0" collapsed="false">
      <c r="A56" s="0" t="s">
        <v>108</v>
      </c>
      <c r="B56" s="0" t="s">
        <v>27</v>
      </c>
      <c r="C56" s="0" t="s">
        <v>28</v>
      </c>
      <c r="D56" s="0" t="s">
        <v>89</v>
      </c>
      <c r="F56" s="0" t="s">
        <v>30</v>
      </c>
      <c r="H56" s="5"/>
      <c r="J56" s="6" t="s">
        <v>67</v>
      </c>
    </row>
    <row r="57" customFormat="false" ht="15" hidden="false" customHeight="false" outlineLevel="0" collapsed="false">
      <c r="A57" s="0" t="s">
        <v>109</v>
      </c>
      <c r="B57" s="0" t="s">
        <v>27</v>
      </c>
      <c r="C57" s="0" t="s">
        <v>28</v>
      </c>
      <c r="D57" s="0" t="s">
        <v>89</v>
      </c>
      <c r="F57" s="0" t="s">
        <v>30</v>
      </c>
      <c r="H57" s="5"/>
      <c r="J57" s="6" t="s">
        <v>67</v>
      </c>
    </row>
    <row r="58" customFormat="false" ht="15" hidden="false" customHeight="false" outlineLevel="0" collapsed="false">
      <c r="A58" s="0" t="s">
        <v>110</v>
      </c>
      <c r="B58" s="0" t="s">
        <v>27</v>
      </c>
      <c r="C58" s="0" t="s">
        <v>28</v>
      </c>
      <c r="D58" s="0" t="s">
        <v>89</v>
      </c>
      <c r="F58" s="0" t="s">
        <v>30</v>
      </c>
      <c r="H58" s="5"/>
      <c r="J58" s="6" t="s">
        <v>67</v>
      </c>
    </row>
    <row r="59" customFormat="false" ht="15" hidden="false" customHeight="false" outlineLevel="0" collapsed="false">
      <c r="A59" s="0" t="s">
        <v>111</v>
      </c>
      <c r="B59" s="0" t="s">
        <v>27</v>
      </c>
      <c r="C59" s="0" t="s">
        <v>28</v>
      </c>
      <c r="D59" s="0" t="s">
        <v>89</v>
      </c>
      <c r="F59" s="0" t="s">
        <v>30</v>
      </c>
      <c r="H59" s="5"/>
      <c r="J59" s="6" t="s">
        <v>67</v>
      </c>
    </row>
    <row r="60" customFormat="false" ht="15" hidden="false" customHeight="false" outlineLevel="0" collapsed="false">
      <c r="A60" s="0" t="s">
        <v>112</v>
      </c>
      <c r="B60" s="0" t="s">
        <v>27</v>
      </c>
      <c r="C60" s="0" t="s">
        <v>28</v>
      </c>
      <c r="D60" s="0" t="s">
        <v>89</v>
      </c>
      <c r="F60" s="0" t="s">
        <v>30</v>
      </c>
      <c r="H60" s="5"/>
      <c r="J60" s="6" t="s">
        <v>67</v>
      </c>
    </row>
    <row r="61" customFormat="false" ht="15" hidden="false" customHeight="false" outlineLevel="0" collapsed="false">
      <c r="A61" s="0" t="s">
        <v>113</v>
      </c>
      <c r="B61" s="0" t="s">
        <v>27</v>
      </c>
      <c r="C61" s="0" t="s">
        <v>28</v>
      </c>
      <c r="D61" s="0" t="s">
        <v>89</v>
      </c>
      <c r="F61" s="0" t="s">
        <v>30</v>
      </c>
      <c r="H61" s="5"/>
      <c r="J61" s="6" t="s">
        <v>53</v>
      </c>
    </row>
    <row r="62" customFormat="false" ht="15" hidden="false" customHeight="false" outlineLevel="0" collapsed="false">
      <c r="A62" s="0" t="s">
        <v>114</v>
      </c>
      <c r="B62" s="0" t="s">
        <v>27</v>
      </c>
      <c r="C62" s="0" t="s">
        <v>28</v>
      </c>
      <c r="D62" s="0" t="s">
        <v>89</v>
      </c>
      <c r="F62" s="0" t="s">
        <v>30</v>
      </c>
      <c r="H62" s="5"/>
      <c r="J62" s="6" t="s">
        <v>67</v>
      </c>
    </row>
    <row r="63" customFormat="false" ht="15" hidden="false" customHeight="false" outlineLevel="0" collapsed="false">
      <c r="A63" s="0" t="s">
        <v>115</v>
      </c>
      <c r="B63" s="0" t="s">
        <v>27</v>
      </c>
      <c r="C63" s="0" t="s">
        <v>28</v>
      </c>
      <c r="D63" s="0" t="s">
        <v>89</v>
      </c>
      <c r="F63" s="0" t="s">
        <v>30</v>
      </c>
      <c r="H63" s="5"/>
      <c r="J63" s="6" t="s">
        <v>67</v>
      </c>
    </row>
    <row r="64" customFormat="false" ht="15" hidden="false" customHeight="false" outlineLevel="0" collapsed="false">
      <c r="A64" s="0" t="s">
        <v>116</v>
      </c>
      <c r="B64" s="0" t="s">
        <v>27</v>
      </c>
      <c r="C64" s="0" t="s">
        <v>28</v>
      </c>
      <c r="D64" s="0" t="s">
        <v>89</v>
      </c>
      <c r="F64" s="0" t="s">
        <v>30</v>
      </c>
      <c r="H64" s="5"/>
      <c r="J64" s="6" t="s">
        <v>53</v>
      </c>
    </row>
    <row r="65" customFormat="false" ht="15" hidden="false" customHeight="false" outlineLevel="0" collapsed="false">
      <c r="A65" s="0" t="s">
        <v>117</v>
      </c>
      <c r="B65" s="0" t="s">
        <v>27</v>
      </c>
      <c r="C65" s="0" t="s">
        <v>28</v>
      </c>
      <c r="D65" s="0" t="s">
        <v>89</v>
      </c>
      <c r="F65" s="0" t="s">
        <v>30</v>
      </c>
      <c r="H65" s="5"/>
      <c r="J65" s="6" t="s">
        <v>67</v>
      </c>
    </row>
    <row r="66" customFormat="false" ht="15" hidden="false" customHeight="false" outlineLevel="0" collapsed="false">
      <c r="A66" s="0" t="s">
        <v>118</v>
      </c>
      <c r="B66" s="0" t="s">
        <v>27</v>
      </c>
      <c r="C66" s="0" t="s">
        <v>28</v>
      </c>
      <c r="D66" s="0" t="s">
        <v>89</v>
      </c>
      <c r="F66" s="0" t="s">
        <v>30</v>
      </c>
      <c r="H66" s="5"/>
      <c r="J66" s="6" t="s">
        <v>53</v>
      </c>
    </row>
    <row r="67" customFormat="false" ht="15" hidden="false" customHeight="false" outlineLevel="0" collapsed="false">
      <c r="A67" s="0" t="s">
        <v>119</v>
      </c>
      <c r="B67" s="0" t="s">
        <v>27</v>
      </c>
      <c r="C67" s="0" t="s">
        <v>28</v>
      </c>
      <c r="D67" s="0" t="s">
        <v>120</v>
      </c>
      <c r="F67" s="0" t="s">
        <v>30</v>
      </c>
      <c r="H67" s="5"/>
      <c r="J67" s="6" t="s">
        <v>51</v>
      </c>
    </row>
    <row r="68" customFormat="false" ht="15" hidden="false" customHeight="false" outlineLevel="0" collapsed="false">
      <c r="A68" s="0" t="s">
        <v>121</v>
      </c>
      <c r="B68" s="0" t="s">
        <v>27</v>
      </c>
      <c r="C68" s="0" t="s">
        <v>28</v>
      </c>
      <c r="D68" s="0" t="s">
        <v>120</v>
      </c>
      <c r="F68" s="0" t="s">
        <v>30</v>
      </c>
      <c r="H68" s="5"/>
      <c r="J68" s="6" t="s">
        <v>51</v>
      </c>
    </row>
    <row r="69" customFormat="false" ht="15" hidden="false" customHeight="false" outlineLevel="0" collapsed="false">
      <c r="A69" s="0" t="s">
        <v>122</v>
      </c>
      <c r="B69" s="0" t="s">
        <v>27</v>
      </c>
      <c r="C69" s="0" t="s">
        <v>28</v>
      </c>
      <c r="D69" s="0" t="s">
        <v>120</v>
      </c>
      <c r="F69" s="0" t="s">
        <v>30</v>
      </c>
      <c r="H69" s="5"/>
      <c r="J69" s="6" t="s">
        <v>51</v>
      </c>
    </row>
    <row r="70" customFormat="false" ht="15" hidden="false" customHeight="false" outlineLevel="0" collapsed="false">
      <c r="A70" s="0" t="s">
        <v>123</v>
      </c>
      <c r="B70" s="0" t="s">
        <v>27</v>
      </c>
      <c r="C70" s="0" t="s">
        <v>28</v>
      </c>
      <c r="D70" s="0" t="s">
        <v>120</v>
      </c>
      <c r="F70" s="0" t="s">
        <v>30</v>
      </c>
      <c r="H70" s="5"/>
      <c r="J70" s="6" t="s">
        <v>124</v>
      </c>
    </row>
    <row r="71" customFormat="false" ht="15" hidden="false" customHeight="false" outlineLevel="0" collapsed="false">
      <c r="A71" s="0" t="s">
        <v>125</v>
      </c>
      <c r="B71" s="0" t="s">
        <v>27</v>
      </c>
      <c r="C71" s="0" t="s">
        <v>28</v>
      </c>
      <c r="D71" s="0" t="s">
        <v>120</v>
      </c>
      <c r="F71" s="0" t="s">
        <v>30</v>
      </c>
      <c r="H71" s="5"/>
      <c r="J71" s="6" t="s">
        <v>124</v>
      </c>
    </row>
    <row r="72" customFormat="false" ht="15" hidden="false" customHeight="false" outlineLevel="0" collapsed="false">
      <c r="A72" s="0" t="s">
        <v>126</v>
      </c>
      <c r="B72" s="0" t="s">
        <v>27</v>
      </c>
      <c r="C72" s="0" t="s">
        <v>28</v>
      </c>
      <c r="D72" s="0" t="s">
        <v>120</v>
      </c>
      <c r="F72" s="0" t="s">
        <v>30</v>
      </c>
      <c r="H72" s="5"/>
      <c r="J72" s="6" t="s">
        <v>124</v>
      </c>
    </row>
    <row r="73" customFormat="false" ht="15" hidden="false" customHeight="false" outlineLevel="0" collapsed="false">
      <c r="A73" s="0" t="s">
        <v>127</v>
      </c>
      <c r="B73" s="0" t="s">
        <v>27</v>
      </c>
      <c r="C73" s="0" t="s">
        <v>28</v>
      </c>
      <c r="D73" s="0" t="s">
        <v>120</v>
      </c>
      <c r="F73" s="0" t="s">
        <v>30</v>
      </c>
      <c r="H73" s="5"/>
      <c r="J73" s="6" t="s">
        <v>124</v>
      </c>
    </row>
    <row r="74" customFormat="false" ht="15" hidden="false" customHeight="false" outlineLevel="0" collapsed="false">
      <c r="A74" s="0" t="s">
        <v>128</v>
      </c>
      <c r="B74" s="0" t="s">
        <v>27</v>
      </c>
      <c r="C74" s="0" t="s">
        <v>28</v>
      </c>
      <c r="D74" s="0" t="s">
        <v>120</v>
      </c>
      <c r="F74" s="0" t="s">
        <v>30</v>
      </c>
      <c r="H74" s="5"/>
      <c r="J74" s="6" t="s">
        <v>124</v>
      </c>
    </row>
    <row r="75" customFormat="false" ht="15" hidden="false" customHeight="false" outlineLevel="0" collapsed="false">
      <c r="A75" s="0" t="s">
        <v>129</v>
      </c>
      <c r="B75" s="0" t="s">
        <v>27</v>
      </c>
      <c r="C75" s="0" t="s">
        <v>28</v>
      </c>
      <c r="D75" s="0" t="s">
        <v>120</v>
      </c>
      <c r="F75" s="0" t="s">
        <v>30</v>
      </c>
      <c r="H75" s="5"/>
      <c r="J75" s="6" t="s">
        <v>124</v>
      </c>
    </row>
    <row r="76" customFormat="false" ht="15" hidden="false" customHeight="false" outlineLevel="0" collapsed="false">
      <c r="A76" s="0" t="s">
        <v>130</v>
      </c>
      <c r="B76" s="0" t="s">
        <v>27</v>
      </c>
      <c r="C76" s="0" t="s">
        <v>28</v>
      </c>
      <c r="D76" s="0" t="s">
        <v>120</v>
      </c>
      <c r="F76" s="0" t="s">
        <v>30</v>
      </c>
      <c r="H76" s="5"/>
      <c r="J76" s="6" t="s">
        <v>124</v>
      </c>
    </row>
    <row r="77" customFormat="false" ht="15" hidden="false" customHeight="false" outlineLevel="0" collapsed="false">
      <c r="A77" s="0" t="s">
        <v>131</v>
      </c>
      <c r="B77" s="0" t="s">
        <v>27</v>
      </c>
      <c r="C77" s="0" t="s">
        <v>28</v>
      </c>
      <c r="D77" s="0" t="s">
        <v>120</v>
      </c>
      <c r="F77" s="0" t="s">
        <v>30</v>
      </c>
      <c r="H77" s="5"/>
      <c r="J77" s="6" t="s">
        <v>124</v>
      </c>
    </row>
    <row r="78" customFormat="false" ht="15" hidden="false" customHeight="false" outlineLevel="0" collapsed="false">
      <c r="A78" s="0" t="s">
        <v>132</v>
      </c>
      <c r="B78" s="0" t="s">
        <v>27</v>
      </c>
      <c r="C78" s="0" t="s">
        <v>28</v>
      </c>
      <c r="D78" s="0" t="s">
        <v>120</v>
      </c>
      <c r="F78" s="0" t="s">
        <v>30</v>
      </c>
      <c r="H78" s="5"/>
      <c r="J78" s="6" t="s">
        <v>124</v>
      </c>
    </row>
    <row r="79" customFormat="false" ht="15" hidden="false" customHeight="false" outlineLevel="0" collapsed="false">
      <c r="A79" s="0" t="s">
        <v>133</v>
      </c>
      <c r="B79" s="0" t="s">
        <v>27</v>
      </c>
      <c r="C79" s="0" t="s">
        <v>28</v>
      </c>
      <c r="D79" s="0" t="s">
        <v>120</v>
      </c>
      <c r="F79" s="0" t="s">
        <v>30</v>
      </c>
      <c r="H79" s="5"/>
      <c r="J79" s="6" t="s">
        <v>124</v>
      </c>
    </row>
    <row r="80" customFormat="false" ht="15" hidden="false" customHeight="false" outlineLevel="0" collapsed="false">
      <c r="A80" s="0" t="s">
        <v>134</v>
      </c>
      <c r="B80" s="0" t="s">
        <v>27</v>
      </c>
      <c r="C80" s="0" t="s">
        <v>28</v>
      </c>
      <c r="D80" s="0" t="s">
        <v>120</v>
      </c>
      <c r="F80" s="0" t="s">
        <v>30</v>
      </c>
      <c r="H80" s="5"/>
      <c r="J80" s="6" t="s">
        <v>124</v>
      </c>
    </row>
    <row r="81" customFormat="false" ht="15" hidden="false" customHeight="false" outlineLevel="0" collapsed="false">
      <c r="A81" s="0" t="s">
        <v>135</v>
      </c>
      <c r="B81" s="0" t="s">
        <v>27</v>
      </c>
      <c r="C81" s="0" t="s">
        <v>28</v>
      </c>
      <c r="D81" s="0" t="s">
        <v>120</v>
      </c>
      <c r="F81" s="0" t="s">
        <v>30</v>
      </c>
      <c r="H81" s="5"/>
      <c r="J81" s="6" t="s">
        <v>124</v>
      </c>
    </row>
    <row r="82" customFormat="false" ht="15" hidden="false" customHeight="false" outlineLevel="0" collapsed="false">
      <c r="A82" s="0" t="s">
        <v>136</v>
      </c>
      <c r="B82" s="0" t="s">
        <v>27</v>
      </c>
      <c r="C82" s="0" t="s">
        <v>28</v>
      </c>
      <c r="D82" s="0" t="s">
        <v>137</v>
      </c>
      <c r="F82" s="0" t="s">
        <v>30</v>
      </c>
      <c r="H82" s="5"/>
      <c r="J82" s="6" t="s">
        <v>46</v>
      </c>
    </row>
    <row r="83" customFormat="false" ht="15" hidden="false" customHeight="false" outlineLevel="0" collapsed="false">
      <c r="A83" s="0" t="s">
        <v>138</v>
      </c>
      <c r="B83" s="0" t="s">
        <v>27</v>
      </c>
      <c r="C83" s="0" t="s">
        <v>28</v>
      </c>
      <c r="D83" s="0" t="s">
        <v>137</v>
      </c>
      <c r="F83" s="0" t="s">
        <v>30</v>
      </c>
      <c r="H83" s="5"/>
      <c r="J83" s="6" t="s">
        <v>46</v>
      </c>
    </row>
    <row r="84" customFormat="false" ht="15" hidden="false" customHeight="false" outlineLevel="0" collapsed="false">
      <c r="A84" s="0" t="s">
        <v>139</v>
      </c>
      <c r="B84" s="0" t="s">
        <v>27</v>
      </c>
      <c r="C84" s="0" t="s">
        <v>28</v>
      </c>
      <c r="D84" s="0" t="s">
        <v>140</v>
      </c>
      <c r="F84" s="0" t="s">
        <v>30</v>
      </c>
      <c r="H84" s="5"/>
      <c r="J84" s="6" t="s">
        <v>67</v>
      </c>
    </row>
    <row r="85" customFormat="false" ht="15" hidden="false" customHeight="false" outlineLevel="0" collapsed="false">
      <c r="A85" s="0" t="s">
        <v>141</v>
      </c>
      <c r="B85" s="0" t="s">
        <v>41</v>
      </c>
      <c r="C85" s="0" t="s">
        <v>42</v>
      </c>
      <c r="D85" s="0" t="s">
        <v>142</v>
      </c>
      <c r="F85" s="0" t="s">
        <v>143</v>
      </c>
      <c r="G85" s="0" t="s">
        <v>144</v>
      </c>
      <c r="H85" s="5" t="n">
        <v>155467.8</v>
      </c>
      <c r="I85" s="6" t="s">
        <v>145</v>
      </c>
      <c r="J85" s="6" t="s">
        <v>146</v>
      </c>
    </row>
    <row r="86" customFormat="false" ht="15" hidden="false" customHeight="false" outlineLevel="0" collapsed="false">
      <c r="A86" s="0" t="s">
        <v>147</v>
      </c>
      <c r="B86" s="0" t="s">
        <v>41</v>
      </c>
      <c r="C86" s="0" t="s">
        <v>42</v>
      </c>
      <c r="D86" s="0" t="s">
        <v>142</v>
      </c>
      <c r="F86" s="0" t="s">
        <v>143</v>
      </c>
      <c r="G86" s="0" t="s">
        <v>144</v>
      </c>
      <c r="H86" s="5" t="n">
        <v>9350.4</v>
      </c>
      <c r="I86" s="6" t="s">
        <v>148</v>
      </c>
      <c r="J86" s="6" t="s">
        <v>149</v>
      </c>
    </row>
    <row r="87" customFormat="false" ht="15" hidden="false" customHeight="false" outlineLevel="0" collapsed="false">
      <c r="A87" s="0" t="s">
        <v>150</v>
      </c>
      <c r="B87" s="0" t="s">
        <v>41</v>
      </c>
      <c r="C87" s="0" t="s">
        <v>42</v>
      </c>
      <c r="D87" s="0" t="s">
        <v>151</v>
      </c>
      <c r="F87" s="0" t="s">
        <v>143</v>
      </c>
      <c r="G87" s="0" t="s">
        <v>144</v>
      </c>
      <c r="H87" s="5" t="n">
        <v>15634.9</v>
      </c>
      <c r="I87" s="6" t="s">
        <v>152</v>
      </c>
      <c r="J87" s="6" t="s">
        <v>153</v>
      </c>
    </row>
    <row r="88" customFormat="false" ht="15" hidden="false" customHeight="false" outlineLevel="0" collapsed="false">
      <c r="A88" s="0" t="s">
        <v>154</v>
      </c>
      <c r="B88" s="0" t="s">
        <v>41</v>
      </c>
      <c r="C88" s="0" t="s">
        <v>42</v>
      </c>
      <c r="D88" s="0" t="s">
        <v>151</v>
      </c>
      <c r="F88" s="0" t="s">
        <v>143</v>
      </c>
      <c r="G88" s="0" t="s">
        <v>144</v>
      </c>
      <c r="H88" s="5"/>
      <c r="J88" s="6" t="s">
        <v>146</v>
      </c>
    </row>
    <row r="89" customFormat="false" ht="15" hidden="false" customHeight="false" outlineLevel="0" collapsed="false">
      <c r="A89" s="0" t="s">
        <v>155</v>
      </c>
      <c r="B89" s="0" t="s">
        <v>41</v>
      </c>
      <c r="C89" s="0" t="s">
        <v>42</v>
      </c>
      <c r="D89" s="0" t="s">
        <v>151</v>
      </c>
      <c r="F89" s="0" t="s">
        <v>143</v>
      </c>
      <c r="G89" s="0" t="s">
        <v>144</v>
      </c>
      <c r="H89" s="5"/>
      <c r="J89" s="6" t="s">
        <v>146</v>
      </c>
    </row>
    <row r="90" customFormat="false" ht="15" hidden="false" customHeight="false" outlineLevel="0" collapsed="false">
      <c r="A90" s="0" t="s">
        <v>156</v>
      </c>
      <c r="B90" s="0" t="s">
        <v>41</v>
      </c>
      <c r="C90" s="0" t="s">
        <v>42</v>
      </c>
      <c r="D90" s="0" t="s">
        <v>151</v>
      </c>
      <c r="F90" s="0" t="s">
        <v>143</v>
      </c>
      <c r="G90" s="0" t="s">
        <v>144</v>
      </c>
      <c r="H90" s="5"/>
      <c r="J90" s="6" t="s">
        <v>146</v>
      </c>
    </row>
    <row r="91" customFormat="false" ht="15" hidden="false" customHeight="false" outlineLevel="0" collapsed="false">
      <c r="A91" s="0" t="s">
        <v>157</v>
      </c>
      <c r="B91" s="0" t="s">
        <v>41</v>
      </c>
      <c r="C91" s="0" t="s">
        <v>42</v>
      </c>
      <c r="D91" s="0" t="s">
        <v>151</v>
      </c>
      <c r="F91" s="0" t="s">
        <v>143</v>
      </c>
      <c r="G91" s="0" t="s">
        <v>144</v>
      </c>
      <c r="H91" s="5"/>
      <c r="J91" s="6" t="s">
        <v>146</v>
      </c>
    </row>
    <row r="92" customFormat="false" ht="15" hidden="false" customHeight="false" outlineLevel="0" collapsed="false">
      <c r="A92" s="0" t="s">
        <v>158</v>
      </c>
      <c r="B92" s="0" t="s">
        <v>41</v>
      </c>
      <c r="C92" s="0" t="s">
        <v>42</v>
      </c>
      <c r="D92" s="0" t="s">
        <v>151</v>
      </c>
      <c r="F92" s="0" t="s">
        <v>143</v>
      </c>
      <c r="G92" s="0" t="s">
        <v>144</v>
      </c>
      <c r="H92" s="5"/>
      <c r="J92" s="6" t="s">
        <v>146</v>
      </c>
    </row>
    <row r="93" customFormat="false" ht="15" hidden="false" customHeight="false" outlineLevel="0" collapsed="false">
      <c r="A93" s="0" t="s">
        <v>159</v>
      </c>
      <c r="B93" s="0" t="s">
        <v>41</v>
      </c>
      <c r="C93" s="0" t="s">
        <v>42</v>
      </c>
      <c r="D93" s="0" t="s">
        <v>151</v>
      </c>
      <c r="F93" s="0" t="s">
        <v>143</v>
      </c>
      <c r="G93" s="0" t="s">
        <v>144</v>
      </c>
      <c r="H93" s="5"/>
      <c r="J93" s="6" t="s">
        <v>146</v>
      </c>
    </row>
    <row r="94" customFormat="false" ht="15" hidden="false" customHeight="false" outlineLevel="0" collapsed="false">
      <c r="A94" s="0" t="s">
        <v>160</v>
      </c>
      <c r="B94" s="0" t="s">
        <v>41</v>
      </c>
      <c r="C94" s="0" t="s">
        <v>42</v>
      </c>
      <c r="D94" s="0" t="s">
        <v>151</v>
      </c>
      <c r="F94" s="0" t="s">
        <v>143</v>
      </c>
      <c r="G94" s="0" t="s">
        <v>144</v>
      </c>
      <c r="H94" s="5"/>
      <c r="J94" s="6" t="s">
        <v>146</v>
      </c>
    </row>
    <row r="95" customFormat="false" ht="15" hidden="false" customHeight="false" outlineLevel="0" collapsed="false">
      <c r="A95" s="0" t="s">
        <v>161</v>
      </c>
      <c r="B95" s="0" t="s">
        <v>41</v>
      </c>
      <c r="C95" s="0" t="s">
        <v>42</v>
      </c>
      <c r="D95" s="0" t="s">
        <v>162</v>
      </c>
      <c r="E95" s="0" t="s">
        <v>163</v>
      </c>
      <c r="F95" s="0" t="s">
        <v>164</v>
      </c>
      <c r="H95" s="5" t="n">
        <v>2563.2</v>
      </c>
      <c r="I95" s="6" t="s">
        <v>165</v>
      </c>
      <c r="J95" s="6" t="s">
        <v>166</v>
      </c>
    </row>
    <row r="96" customFormat="false" ht="15" hidden="false" customHeight="false" outlineLevel="0" collapsed="false">
      <c r="A96" s="0" t="s">
        <v>167</v>
      </c>
      <c r="B96" s="0" t="s">
        <v>41</v>
      </c>
      <c r="C96" s="0" t="s">
        <v>42</v>
      </c>
      <c r="D96" s="0" t="s">
        <v>162</v>
      </c>
      <c r="F96" s="0" t="s">
        <v>143</v>
      </c>
      <c r="G96" s="0" t="s">
        <v>144</v>
      </c>
      <c r="H96" s="5" t="n">
        <v>977.1</v>
      </c>
      <c r="I96" s="6" t="s">
        <v>165</v>
      </c>
      <c r="J96" s="6" t="s">
        <v>168</v>
      </c>
    </row>
    <row r="97" customFormat="false" ht="15" hidden="false" customHeight="false" outlineLevel="0" collapsed="false">
      <c r="A97" s="0" t="s">
        <v>169</v>
      </c>
      <c r="B97" s="0" t="s">
        <v>41</v>
      </c>
      <c r="C97" s="0" t="s">
        <v>42</v>
      </c>
      <c r="D97" s="0" t="s">
        <v>170</v>
      </c>
      <c r="F97" s="0" t="s">
        <v>143</v>
      </c>
      <c r="G97" s="0" t="s">
        <v>144</v>
      </c>
      <c r="H97" s="5"/>
      <c r="J97" s="6" t="s">
        <v>146</v>
      </c>
    </row>
    <row r="98" customFormat="false" ht="15" hidden="false" customHeight="false" outlineLevel="0" collapsed="false">
      <c r="A98" s="0" t="s">
        <v>171</v>
      </c>
      <c r="B98" s="0" t="s">
        <v>41</v>
      </c>
      <c r="C98" s="0" t="s">
        <v>42</v>
      </c>
      <c r="D98" s="0" t="s">
        <v>170</v>
      </c>
      <c r="F98" s="0" t="s">
        <v>143</v>
      </c>
      <c r="G98" s="0" t="s">
        <v>144</v>
      </c>
      <c r="H98" s="5"/>
      <c r="J98" s="6" t="s">
        <v>146</v>
      </c>
    </row>
    <row r="99" customFormat="false" ht="15" hidden="false" customHeight="false" outlineLevel="0" collapsed="false">
      <c r="A99" s="0" t="s">
        <v>172</v>
      </c>
      <c r="B99" s="0" t="s">
        <v>41</v>
      </c>
      <c r="C99" s="0" t="s">
        <v>42</v>
      </c>
      <c r="D99" s="0" t="s">
        <v>173</v>
      </c>
      <c r="E99" s="0" t="s">
        <v>163</v>
      </c>
      <c r="F99" s="0" t="s">
        <v>164</v>
      </c>
      <c r="H99" s="5" t="n">
        <v>6690.2</v>
      </c>
      <c r="I99" s="6" t="s">
        <v>57</v>
      </c>
      <c r="J99" s="6" t="s">
        <v>46</v>
      </c>
    </row>
    <row r="100" customFormat="false" ht="15" hidden="false" customHeight="false" outlineLevel="0" collapsed="false">
      <c r="A100" s="0" t="s">
        <v>174</v>
      </c>
      <c r="B100" s="0" t="s">
        <v>41</v>
      </c>
      <c r="C100" s="0" t="s">
        <v>42</v>
      </c>
      <c r="D100" s="0" t="s">
        <v>173</v>
      </c>
      <c r="F100" s="0" t="s">
        <v>143</v>
      </c>
      <c r="G100" s="0" t="s">
        <v>144</v>
      </c>
      <c r="H100" s="5" t="n">
        <v>1669.1</v>
      </c>
      <c r="I100" s="6" t="s">
        <v>175</v>
      </c>
      <c r="J100" s="6" t="s">
        <v>176</v>
      </c>
    </row>
    <row r="101" customFormat="false" ht="15" hidden="false" customHeight="false" outlineLevel="0" collapsed="false">
      <c r="A101" s="0" t="s">
        <v>177</v>
      </c>
      <c r="B101" s="0" t="s">
        <v>178</v>
      </c>
      <c r="C101" s="0" t="s">
        <v>179</v>
      </c>
      <c r="D101" s="0" t="s">
        <v>177</v>
      </c>
      <c r="E101" s="0" t="s">
        <v>44</v>
      </c>
      <c r="F101" s="0" t="s">
        <v>45</v>
      </c>
      <c r="H101" s="5" t="n">
        <v>17877</v>
      </c>
      <c r="I101" s="6" t="s">
        <v>180</v>
      </c>
      <c r="J101" s="6" t="s">
        <v>181</v>
      </c>
    </row>
    <row r="102" customFormat="false" ht="15" hidden="false" customHeight="false" outlineLevel="0" collapsed="false">
      <c r="A102" s="0" t="s">
        <v>182</v>
      </c>
      <c r="B102" s="0" t="s">
        <v>178</v>
      </c>
      <c r="C102" s="0" t="s">
        <v>179</v>
      </c>
      <c r="D102" s="0" t="s">
        <v>183</v>
      </c>
      <c r="E102" s="0" t="s">
        <v>44</v>
      </c>
      <c r="F102" s="0" t="s">
        <v>45</v>
      </c>
      <c r="H102" s="5" t="n">
        <v>10846.5</v>
      </c>
      <c r="I102" s="6" t="s">
        <v>184</v>
      </c>
      <c r="J102" s="6" t="s">
        <v>185</v>
      </c>
    </row>
    <row r="103" customFormat="false" ht="15" hidden="false" customHeight="false" outlineLevel="0" collapsed="false">
      <c r="A103" s="0" t="s">
        <v>186</v>
      </c>
      <c r="B103" s="0" t="s">
        <v>178</v>
      </c>
      <c r="C103" s="0" t="s">
        <v>179</v>
      </c>
      <c r="D103" s="0" t="s">
        <v>183</v>
      </c>
      <c r="E103" s="0" t="s">
        <v>44</v>
      </c>
      <c r="F103" s="0" t="s">
        <v>45</v>
      </c>
      <c r="H103" s="5" t="n">
        <v>513.1</v>
      </c>
      <c r="I103" s="6" t="s">
        <v>187</v>
      </c>
      <c r="J103" s="6" t="s">
        <v>188</v>
      </c>
    </row>
    <row r="104" customFormat="false" ht="15" hidden="false" customHeight="false" outlineLevel="0" collapsed="false">
      <c r="A104" s="0" t="s">
        <v>189</v>
      </c>
      <c r="B104" s="0" t="s">
        <v>178</v>
      </c>
      <c r="C104" s="0" t="s">
        <v>179</v>
      </c>
      <c r="D104" s="0" t="s">
        <v>183</v>
      </c>
      <c r="E104" s="0" t="s">
        <v>44</v>
      </c>
      <c r="F104" s="0" t="s">
        <v>45</v>
      </c>
      <c r="H104" s="5" t="n">
        <v>322.9</v>
      </c>
      <c r="I104" s="6" t="s">
        <v>184</v>
      </c>
      <c r="J104" s="6" t="s">
        <v>190</v>
      </c>
    </row>
    <row r="105" customFormat="false" ht="15" hidden="false" customHeight="false" outlineLevel="0" collapsed="false">
      <c r="A105" s="0" t="s">
        <v>191</v>
      </c>
      <c r="B105" s="0" t="s">
        <v>178</v>
      </c>
      <c r="C105" s="0" t="s">
        <v>179</v>
      </c>
      <c r="D105" s="0" t="s">
        <v>183</v>
      </c>
      <c r="E105" s="0" t="s">
        <v>44</v>
      </c>
      <c r="F105" s="0" t="s">
        <v>45</v>
      </c>
      <c r="H105" s="5" t="n">
        <v>204</v>
      </c>
      <c r="I105" s="6" t="s">
        <v>184</v>
      </c>
      <c r="J105" s="6" t="s">
        <v>192</v>
      </c>
    </row>
    <row r="106" customFormat="false" ht="15" hidden="false" customHeight="false" outlineLevel="0" collapsed="false">
      <c r="A106" s="0" t="s">
        <v>193</v>
      </c>
      <c r="B106" s="0" t="s">
        <v>178</v>
      </c>
      <c r="C106" s="0" t="s">
        <v>179</v>
      </c>
      <c r="D106" s="0" t="s">
        <v>183</v>
      </c>
      <c r="E106" s="0" t="s">
        <v>44</v>
      </c>
      <c r="F106" s="0" t="s">
        <v>45</v>
      </c>
      <c r="H106" s="5" t="n">
        <v>190.9</v>
      </c>
      <c r="I106" s="6" t="s">
        <v>184</v>
      </c>
      <c r="J106" s="6" t="s">
        <v>194</v>
      </c>
    </row>
    <row r="107" customFormat="false" ht="15" hidden="false" customHeight="false" outlineLevel="0" collapsed="false">
      <c r="A107" s="0" t="s">
        <v>195</v>
      </c>
      <c r="B107" s="0" t="s">
        <v>178</v>
      </c>
      <c r="C107" s="0" t="s">
        <v>179</v>
      </c>
      <c r="D107" s="0" t="s">
        <v>183</v>
      </c>
      <c r="E107" s="0" t="s">
        <v>44</v>
      </c>
      <c r="F107" s="0" t="s">
        <v>45</v>
      </c>
      <c r="H107" s="5" t="n">
        <v>131</v>
      </c>
      <c r="I107" s="6" t="s">
        <v>196</v>
      </c>
      <c r="J107" s="6" t="s">
        <v>197</v>
      </c>
    </row>
    <row r="108" customFormat="false" ht="15" hidden="false" customHeight="false" outlineLevel="0" collapsed="false">
      <c r="A108" s="0" t="s">
        <v>198</v>
      </c>
      <c r="B108" s="0" t="s">
        <v>178</v>
      </c>
      <c r="C108" s="0" t="s">
        <v>179</v>
      </c>
      <c r="D108" s="0" t="s">
        <v>183</v>
      </c>
      <c r="E108" s="0" t="s">
        <v>44</v>
      </c>
      <c r="F108" s="0" t="s">
        <v>45</v>
      </c>
      <c r="H108" s="5" t="n">
        <v>95</v>
      </c>
      <c r="I108" s="6" t="s">
        <v>184</v>
      </c>
      <c r="J108" s="6" t="s">
        <v>199</v>
      </c>
    </row>
    <row r="109" customFormat="false" ht="15" hidden="false" customHeight="false" outlineLevel="0" collapsed="false">
      <c r="A109" s="0" t="s">
        <v>200</v>
      </c>
      <c r="B109" s="0" t="s">
        <v>178</v>
      </c>
      <c r="C109" s="0" t="s">
        <v>179</v>
      </c>
      <c r="D109" s="0" t="s">
        <v>183</v>
      </c>
      <c r="E109" s="0" t="s">
        <v>44</v>
      </c>
      <c r="F109" s="0" t="s">
        <v>45</v>
      </c>
      <c r="H109" s="5" t="n">
        <v>69.1</v>
      </c>
      <c r="I109" s="6" t="s">
        <v>184</v>
      </c>
      <c r="J109" s="6" t="s">
        <v>201</v>
      </c>
    </row>
    <row r="110" customFormat="false" ht="15" hidden="false" customHeight="false" outlineLevel="0" collapsed="false">
      <c r="A110" s="0" t="s">
        <v>202</v>
      </c>
      <c r="B110" s="0" t="s">
        <v>178</v>
      </c>
      <c r="C110" s="0" t="s">
        <v>179</v>
      </c>
      <c r="D110" s="0" t="s">
        <v>183</v>
      </c>
      <c r="E110" s="0" t="s">
        <v>44</v>
      </c>
      <c r="F110" s="0" t="s">
        <v>45</v>
      </c>
      <c r="H110" s="5" t="n">
        <v>68.5</v>
      </c>
      <c r="I110" s="6" t="s">
        <v>203</v>
      </c>
      <c r="J110" s="6" t="s">
        <v>204</v>
      </c>
    </row>
    <row r="111" customFormat="false" ht="15" hidden="false" customHeight="false" outlineLevel="0" collapsed="false">
      <c r="A111" s="0" t="s">
        <v>205</v>
      </c>
      <c r="B111" s="0" t="s">
        <v>178</v>
      </c>
      <c r="C111" s="0" t="s">
        <v>179</v>
      </c>
      <c r="D111" s="0" t="s">
        <v>183</v>
      </c>
      <c r="E111" s="0" t="s">
        <v>44</v>
      </c>
      <c r="F111" s="0" t="s">
        <v>45</v>
      </c>
      <c r="H111" s="5" t="n">
        <v>60.7</v>
      </c>
      <c r="I111" s="6" t="s">
        <v>184</v>
      </c>
      <c r="J111" s="6" t="s">
        <v>206</v>
      </c>
    </row>
    <row r="112" customFormat="false" ht="15" hidden="false" customHeight="false" outlineLevel="0" collapsed="false">
      <c r="A112" s="0" t="s">
        <v>207</v>
      </c>
      <c r="B112" s="0" t="s">
        <v>178</v>
      </c>
      <c r="C112" s="0" t="s">
        <v>179</v>
      </c>
      <c r="D112" s="0" t="s">
        <v>183</v>
      </c>
      <c r="E112" s="0" t="s">
        <v>44</v>
      </c>
      <c r="F112" s="0" t="s">
        <v>45</v>
      </c>
      <c r="H112" s="5" t="n">
        <v>28.8</v>
      </c>
      <c r="I112" s="6" t="s">
        <v>208</v>
      </c>
      <c r="J112" s="6" t="s">
        <v>209</v>
      </c>
    </row>
    <row r="113" customFormat="false" ht="15" hidden="false" customHeight="false" outlineLevel="0" collapsed="false">
      <c r="A113" s="0" t="s">
        <v>210</v>
      </c>
      <c r="B113" s="0" t="s">
        <v>178</v>
      </c>
      <c r="C113" s="0" t="s">
        <v>179</v>
      </c>
      <c r="D113" s="0" t="s">
        <v>183</v>
      </c>
      <c r="E113" s="0" t="s">
        <v>44</v>
      </c>
      <c r="F113" s="0" t="s">
        <v>45</v>
      </c>
      <c r="H113" s="5" t="n">
        <v>19.1</v>
      </c>
      <c r="I113" s="6" t="s">
        <v>184</v>
      </c>
      <c r="J113" s="6" t="s">
        <v>211</v>
      </c>
    </row>
    <row r="114" customFormat="false" ht="15" hidden="false" customHeight="false" outlineLevel="0" collapsed="false">
      <c r="A114" s="0" t="s">
        <v>212</v>
      </c>
      <c r="B114" s="0" t="s">
        <v>178</v>
      </c>
      <c r="C114" s="0" t="s">
        <v>179</v>
      </c>
      <c r="D114" s="0" t="s">
        <v>183</v>
      </c>
      <c r="E114" s="0" t="s">
        <v>44</v>
      </c>
      <c r="F114" s="0" t="s">
        <v>45</v>
      </c>
      <c r="H114" s="5" t="n">
        <v>13.1</v>
      </c>
      <c r="I114" s="6" t="s">
        <v>184</v>
      </c>
      <c r="J114" s="6" t="s">
        <v>213</v>
      </c>
    </row>
    <row r="115" customFormat="false" ht="15" hidden="false" customHeight="false" outlineLevel="0" collapsed="false">
      <c r="A115" s="0" t="s">
        <v>214</v>
      </c>
      <c r="B115" s="0" t="s">
        <v>178</v>
      </c>
      <c r="C115" s="0" t="s">
        <v>179</v>
      </c>
      <c r="D115" s="0" t="s">
        <v>183</v>
      </c>
      <c r="E115" s="0" t="s">
        <v>44</v>
      </c>
      <c r="F115" s="0" t="s">
        <v>45</v>
      </c>
      <c r="H115" s="5" t="n">
        <v>0.5</v>
      </c>
      <c r="I115" s="6" t="s">
        <v>184</v>
      </c>
      <c r="J115" s="6" t="s">
        <v>206</v>
      </c>
    </row>
    <row r="116" customFormat="false" ht="15" hidden="false" customHeight="false" outlineLevel="0" collapsed="false">
      <c r="A116" s="0" t="s">
        <v>215</v>
      </c>
      <c r="B116" s="0" t="s">
        <v>178</v>
      </c>
      <c r="C116" s="0" t="s">
        <v>179</v>
      </c>
      <c r="D116" s="0" t="s">
        <v>183</v>
      </c>
      <c r="E116" s="0" t="s">
        <v>44</v>
      </c>
      <c r="F116" s="0" t="s">
        <v>45</v>
      </c>
      <c r="H116" s="5" t="n">
        <v>0.3</v>
      </c>
      <c r="I116" s="6" t="s">
        <v>184</v>
      </c>
      <c r="J116" s="6" t="s">
        <v>216</v>
      </c>
    </row>
    <row r="117" customFormat="false" ht="15" hidden="false" customHeight="false" outlineLevel="0" collapsed="false">
      <c r="A117" s="0" t="s">
        <v>217</v>
      </c>
      <c r="B117" s="0" t="s">
        <v>178</v>
      </c>
      <c r="C117" s="0" t="s">
        <v>179</v>
      </c>
      <c r="D117" s="0" t="s">
        <v>183</v>
      </c>
      <c r="E117" s="0" t="s">
        <v>44</v>
      </c>
      <c r="F117" s="0" t="s">
        <v>45</v>
      </c>
      <c r="H117" s="5"/>
      <c r="J117" s="6" t="s">
        <v>218</v>
      </c>
    </row>
    <row r="118" customFormat="false" ht="15" hidden="false" customHeight="false" outlineLevel="0" collapsed="false">
      <c r="A118" s="0" t="s">
        <v>219</v>
      </c>
      <c r="B118" s="0" t="s">
        <v>178</v>
      </c>
      <c r="C118" s="0" t="s">
        <v>179</v>
      </c>
      <c r="D118" s="0" t="s">
        <v>183</v>
      </c>
      <c r="E118" s="0" t="s">
        <v>44</v>
      </c>
      <c r="F118" s="0" t="s">
        <v>45</v>
      </c>
      <c r="H118" s="5"/>
      <c r="J118" s="6" t="s">
        <v>220</v>
      </c>
    </row>
    <row r="119" customFormat="false" ht="15" hidden="false" customHeight="false" outlineLevel="0" collapsed="false">
      <c r="A119" s="0" t="s">
        <v>221</v>
      </c>
      <c r="B119" s="0" t="s">
        <v>178</v>
      </c>
      <c r="C119" s="0" t="s">
        <v>179</v>
      </c>
      <c r="D119" s="0" t="s">
        <v>222</v>
      </c>
      <c r="E119" s="0" t="s">
        <v>44</v>
      </c>
      <c r="F119" s="0" t="s">
        <v>45</v>
      </c>
      <c r="H119" s="5" t="n">
        <v>2025.5</v>
      </c>
      <c r="I119" s="6" t="s">
        <v>223</v>
      </c>
      <c r="J119" s="6" t="s">
        <v>224</v>
      </c>
    </row>
    <row r="120" customFormat="false" ht="15" hidden="false" customHeight="false" outlineLevel="0" collapsed="false">
      <c r="A120" s="0" t="s">
        <v>225</v>
      </c>
      <c r="B120" s="0" t="s">
        <v>178</v>
      </c>
      <c r="C120" s="0" t="s">
        <v>179</v>
      </c>
      <c r="D120" s="0" t="s">
        <v>222</v>
      </c>
      <c r="E120" s="0" t="s">
        <v>44</v>
      </c>
      <c r="F120" s="0" t="s">
        <v>45</v>
      </c>
      <c r="H120" s="5" t="n">
        <v>6.4</v>
      </c>
      <c r="I120" s="6" t="s">
        <v>226</v>
      </c>
      <c r="J120" s="6" t="s">
        <v>227</v>
      </c>
    </row>
    <row r="121" customFormat="false" ht="15" hidden="false" customHeight="false" outlineLevel="0" collapsed="false">
      <c r="A121" s="0" t="s">
        <v>228</v>
      </c>
      <c r="B121" s="0" t="s">
        <v>178</v>
      </c>
      <c r="C121" s="0" t="s">
        <v>179</v>
      </c>
      <c r="D121" s="0" t="s">
        <v>229</v>
      </c>
      <c r="E121" s="0" t="s">
        <v>44</v>
      </c>
      <c r="F121" s="0" t="s">
        <v>45</v>
      </c>
      <c r="H121" s="5" t="n">
        <v>6652.2</v>
      </c>
      <c r="I121" s="6" t="s">
        <v>230</v>
      </c>
      <c r="J121" s="6" t="s">
        <v>231</v>
      </c>
    </row>
    <row r="122" customFormat="false" ht="15" hidden="false" customHeight="false" outlineLevel="0" collapsed="false">
      <c r="A122" s="0" t="s">
        <v>232</v>
      </c>
      <c r="B122" s="0" t="s">
        <v>178</v>
      </c>
      <c r="C122" s="0" t="s">
        <v>179</v>
      </c>
      <c r="D122" s="0" t="s">
        <v>229</v>
      </c>
      <c r="E122" s="0" t="s">
        <v>44</v>
      </c>
      <c r="F122" s="0" t="s">
        <v>45</v>
      </c>
      <c r="H122" s="5"/>
      <c r="I122" s="6" t="s">
        <v>233</v>
      </c>
      <c r="J122" s="6" t="s">
        <v>231</v>
      </c>
    </row>
    <row r="123" customFormat="false" ht="15" hidden="false" customHeight="false" outlineLevel="0" collapsed="false">
      <c r="A123" s="0" t="s">
        <v>234</v>
      </c>
      <c r="B123" s="0" t="s">
        <v>178</v>
      </c>
      <c r="C123" s="0" t="s">
        <v>179</v>
      </c>
      <c r="D123" s="0" t="s">
        <v>235</v>
      </c>
      <c r="E123" s="0" t="s">
        <v>44</v>
      </c>
      <c r="F123" s="0" t="s">
        <v>45</v>
      </c>
      <c r="H123" s="5" t="n">
        <v>507</v>
      </c>
      <c r="I123" s="6" t="s">
        <v>236</v>
      </c>
      <c r="J123" s="6" t="s">
        <v>237</v>
      </c>
    </row>
    <row r="124" customFormat="false" ht="15" hidden="false" customHeight="false" outlineLevel="0" collapsed="false">
      <c r="A124" s="0" t="s">
        <v>238</v>
      </c>
      <c r="B124" s="0" t="s">
        <v>178</v>
      </c>
      <c r="C124" s="0" t="s">
        <v>179</v>
      </c>
      <c r="D124" s="0" t="s">
        <v>235</v>
      </c>
      <c r="E124" s="0" t="s">
        <v>44</v>
      </c>
      <c r="F124" s="0" t="s">
        <v>45</v>
      </c>
      <c r="H124" s="5" t="n">
        <v>128.3</v>
      </c>
      <c r="I124" s="6" t="s">
        <v>239</v>
      </c>
      <c r="J124" s="6" t="s">
        <v>240</v>
      </c>
    </row>
    <row r="125" customFormat="false" ht="15" hidden="false" customHeight="false" outlineLevel="0" collapsed="false">
      <c r="A125" s="0" t="s">
        <v>241</v>
      </c>
      <c r="B125" s="0" t="s">
        <v>178</v>
      </c>
      <c r="C125" s="0" t="s">
        <v>179</v>
      </c>
      <c r="D125" s="0" t="s">
        <v>235</v>
      </c>
      <c r="E125" s="0" t="s">
        <v>44</v>
      </c>
      <c r="F125" s="0" t="s">
        <v>45</v>
      </c>
      <c r="H125" s="5" t="n">
        <v>123.7</v>
      </c>
      <c r="I125" s="6" t="s">
        <v>242</v>
      </c>
      <c r="J125" s="6" t="s">
        <v>243</v>
      </c>
    </row>
    <row r="126" customFormat="false" ht="15" hidden="false" customHeight="false" outlineLevel="0" collapsed="false">
      <c r="A126" s="0" t="s">
        <v>244</v>
      </c>
      <c r="B126" s="0" t="s">
        <v>178</v>
      </c>
      <c r="C126" s="0" t="s">
        <v>179</v>
      </c>
      <c r="D126" s="0" t="s">
        <v>235</v>
      </c>
      <c r="E126" s="0" t="s">
        <v>44</v>
      </c>
      <c r="F126" s="0" t="s">
        <v>45</v>
      </c>
      <c r="H126" s="5" t="n">
        <v>120</v>
      </c>
      <c r="I126" s="6" t="s">
        <v>245</v>
      </c>
      <c r="J126" s="6" t="s">
        <v>246</v>
      </c>
    </row>
    <row r="127" customFormat="false" ht="15" hidden="false" customHeight="false" outlineLevel="0" collapsed="false">
      <c r="A127" s="0" t="s">
        <v>247</v>
      </c>
      <c r="B127" s="0" t="s">
        <v>178</v>
      </c>
      <c r="C127" s="0" t="s">
        <v>179</v>
      </c>
      <c r="D127" s="0" t="s">
        <v>235</v>
      </c>
      <c r="E127" s="0" t="s">
        <v>44</v>
      </c>
      <c r="F127" s="0" t="s">
        <v>45</v>
      </c>
      <c r="H127" s="5"/>
      <c r="J127" s="6" t="s">
        <v>248</v>
      </c>
    </row>
    <row r="128" customFormat="false" ht="15" hidden="false" customHeight="false" outlineLevel="0" collapsed="false">
      <c r="A128" s="0" t="s">
        <v>249</v>
      </c>
      <c r="B128" s="0" t="s">
        <v>178</v>
      </c>
      <c r="C128" s="0" t="s">
        <v>179</v>
      </c>
      <c r="D128" s="0" t="s">
        <v>235</v>
      </c>
      <c r="E128" s="0" t="s">
        <v>44</v>
      </c>
      <c r="F128" s="0" t="s">
        <v>45</v>
      </c>
      <c r="H128" s="5"/>
      <c r="J128" s="6" t="s">
        <v>250</v>
      </c>
    </row>
    <row r="129" customFormat="false" ht="15" hidden="false" customHeight="false" outlineLevel="0" collapsed="false">
      <c r="A129" s="0" t="s">
        <v>251</v>
      </c>
      <c r="B129" s="0" t="s">
        <v>178</v>
      </c>
      <c r="C129" s="0" t="s">
        <v>179</v>
      </c>
      <c r="D129" s="0" t="s">
        <v>235</v>
      </c>
      <c r="E129" s="0" t="s">
        <v>44</v>
      </c>
      <c r="F129" s="0" t="s">
        <v>45</v>
      </c>
      <c r="H129" s="5"/>
      <c r="J129" s="6" t="s">
        <v>67</v>
      </c>
    </row>
    <row r="130" customFormat="false" ht="15" hidden="false" customHeight="false" outlineLevel="0" collapsed="false">
      <c r="A130" s="0" t="s">
        <v>252</v>
      </c>
      <c r="B130" s="0" t="s">
        <v>178</v>
      </c>
      <c r="C130" s="0" t="s">
        <v>179</v>
      </c>
      <c r="D130" s="0" t="s">
        <v>253</v>
      </c>
      <c r="E130" s="0" t="s">
        <v>44</v>
      </c>
      <c r="F130" s="0" t="s">
        <v>45</v>
      </c>
      <c r="H130" s="5" t="n">
        <v>1747</v>
      </c>
      <c r="I130" s="6" t="s">
        <v>254</v>
      </c>
      <c r="J130" s="6" t="s">
        <v>255</v>
      </c>
    </row>
    <row r="131" customFormat="false" ht="15" hidden="false" customHeight="false" outlineLevel="0" collapsed="false">
      <c r="A131" s="0" t="s">
        <v>256</v>
      </c>
      <c r="B131" s="0" t="s">
        <v>257</v>
      </c>
      <c r="C131" s="0" t="s">
        <v>258</v>
      </c>
      <c r="D131" s="0" t="s">
        <v>259</v>
      </c>
      <c r="E131" s="0" t="s">
        <v>260</v>
      </c>
      <c r="F131" s="0" t="s">
        <v>261</v>
      </c>
      <c r="H131" s="5" t="n">
        <v>130178</v>
      </c>
      <c r="I131" s="6" t="s">
        <v>262</v>
      </c>
      <c r="J131" s="6" t="s">
        <v>263</v>
      </c>
    </row>
    <row r="132" customFormat="false" ht="15" hidden="false" customHeight="false" outlineLevel="0" collapsed="false">
      <c r="A132" s="0" t="s">
        <v>264</v>
      </c>
      <c r="B132" s="0" t="s">
        <v>257</v>
      </c>
      <c r="C132" s="0" t="s">
        <v>258</v>
      </c>
      <c r="D132" s="0" t="s">
        <v>259</v>
      </c>
      <c r="E132" s="0" t="s">
        <v>260</v>
      </c>
      <c r="F132" s="0" t="s">
        <v>143</v>
      </c>
      <c r="G132" s="0" t="s">
        <v>144</v>
      </c>
      <c r="H132" s="5" t="n">
        <v>2414.3</v>
      </c>
      <c r="I132" s="6" t="s">
        <v>152</v>
      </c>
    </row>
    <row r="133" customFormat="false" ht="15" hidden="false" customHeight="false" outlineLevel="0" collapsed="false">
      <c r="A133" s="0" t="s">
        <v>265</v>
      </c>
      <c r="B133" s="0" t="s">
        <v>257</v>
      </c>
      <c r="C133" s="0" t="s">
        <v>258</v>
      </c>
      <c r="D133" s="0" t="s">
        <v>259</v>
      </c>
      <c r="E133" s="0" t="s">
        <v>260</v>
      </c>
      <c r="F133" s="0" t="s">
        <v>143</v>
      </c>
      <c r="G133" s="0" t="s">
        <v>144</v>
      </c>
      <c r="H133" s="5" t="n">
        <v>1650</v>
      </c>
      <c r="I133" s="6" t="s">
        <v>262</v>
      </c>
      <c r="J133" s="6" t="s">
        <v>266</v>
      </c>
    </row>
    <row r="134" customFormat="false" ht="15" hidden="false" customHeight="false" outlineLevel="0" collapsed="false">
      <c r="A134" s="0" t="s">
        <v>267</v>
      </c>
      <c r="B134" s="0" t="s">
        <v>257</v>
      </c>
      <c r="C134" s="0" t="s">
        <v>258</v>
      </c>
      <c r="D134" s="0" t="s">
        <v>259</v>
      </c>
      <c r="E134" s="0" t="s">
        <v>260</v>
      </c>
      <c r="F134" s="0" t="s">
        <v>143</v>
      </c>
      <c r="G134" s="0" t="s">
        <v>144</v>
      </c>
      <c r="H134" s="5" t="n">
        <v>1127.9</v>
      </c>
      <c r="I134" s="6" t="s">
        <v>262</v>
      </c>
      <c r="J134" s="6" t="s">
        <v>268</v>
      </c>
    </row>
    <row r="135" customFormat="false" ht="15" hidden="false" customHeight="false" outlineLevel="0" collapsed="false">
      <c r="A135" s="0" t="s">
        <v>269</v>
      </c>
      <c r="B135" s="0" t="s">
        <v>257</v>
      </c>
      <c r="C135" s="0" t="s">
        <v>258</v>
      </c>
      <c r="D135" s="0" t="s">
        <v>270</v>
      </c>
      <c r="E135" s="0" t="s">
        <v>260</v>
      </c>
      <c r="F135" s="0" t="s">
        <v>143</v>
      </c>
      <c r="G135" s="0" t="s">
        <v>144</v>
      </c>
      <c r="H135" s="5" t="n">
        <v>4800</v>
      </c>
      <c r="I135" s="6" t="s">
        <v>262</v>
      </c>
      <c r="J135" s="6" t="s">
        <v>271</v>
      </c>
    </row>
    <row r="136" customFormat="false" ht="15" hidden="false" customHeight="false" outlineLevel="0" collapsed="false">
      <c r="A136" s="0" t="s">
        <v>272</v>
      </c>
      <c r="B136" s="0" t="s">
        <v>257</v>
      </c>
      <c r="C136" s="0" t="s">
        <v>273</v>
      </c>
      <c r="D136" s="0" t="s">
        <v>274</v>
      </c>
      <c r="E136" s="0" t="s">
        <v>275</v>
      </c>
      <c r="F136" s="0" t="s">
        <v>143</v>
      </c>
      <c r="G136" s="0" t="s">
        <v>276</v>
      </c>
      <c r="H136" s="5" t="n">
        <v>2630</v>
      </c>
      <c r="I136" s="6" t="s">
        <v>277</v>
      </c>
      <c r="J136" s="6" t="s">
        <v>278</v>
      </c>
    </row>
    <row r="137" customFormat="false" ht="15" hidden="false" customHeight="false" outlineLevel="0" collapsed="false">
      <c r="A137" s="0" t="s">
        <v>279</v>
      </c>
      <c r="B137" s="0" t="s">
        <v>257</v>
      </c>
      <c r="C137" s="0" t="s">
        <v>258</v>
      </c>
      <c r="D137" s="0" t="s">
        <v>270</v>
      </c>
      <c r="E137" s="0" t="s">
        <v>260</v>
      </c>
      <c r="F137" s="0" t="s">
        <v>143</v>
      </c>
      <c r="G137" s="0" t="s">
        <v>144</v>
      </c>
      <c r="H137" s="5"/>
      <c r="J137" s="6" t="s">
        <v>280</v>
      </c>
    </row>
    <row r="138" customFormat="false" ht="15" hidden="false" customHeight="false" outlineLevel="0" collapsed="false">
      <c r="A138" s="0" t="s">
        <v>281</v>
      </c>
      <c r="B138" s="0" t="s">
        <v>257</v>
      </c>
      <c r="C138" s="0" t="s">
        <v>273</v>
      </c>
      <c r="D138" s="0" t="s">
        <v>274</v>
      </c>
      <c r="E138" s="0" t="s">
        <v>275</v>
      </c>
      <c r="F138" s="0" t="s">
        <v>143</v>
      </c>
      <c r="G138" s="0" t="s">
        <v>276</v>
      </c>
      <c r="H138" s="5"/>
      <c r="J138" s="6" t="s">
        <v>282</v>
      </c>
    </row>
    <row r="139" customFormat="false" ht="15" hidden="false" customHeight="false" outlineLevel="0" collapsed="false">
      <c r="A139" s="0" t="s">
        <v>283</v>
      </c>
      <c r="B139" s="0" t="s">
        <v>257</v>
      </c>
      <c r="C139" s="0" t="s">
        <v>258</v>
      </c>
      <c r="D139" s="0" t="s">
        <v>284</v>
      </c>
      <c r="E139" s="0" t="s">
        <v>260</v>
      </c>
      <c r="F139" s="0" t="s">
        <v>143</v>
      </c>
      <c r="G139" s="0" t="s">
        <v>144</v>
      </c>
      <c r="H139" s="5"/>
      <c r="J139" s="6" t="s">
        <v>285</v>
      </c>
    </row>
    <row r="140" customFormat="false" ht="15" hidden="false" customHeight="false" outlineLevel="0" collapsed="false">
      <c r="A140" s="0" t="s">
        <v>286</v>
      </c>
      <c r="B140" s="0" t="s">
        <v>257</v>
      </c>
      <c r="C140" s="0" t="s">
        <v>258</v>
      </c>
      <c r="D140" s="0" t="s">
        <v>287</v>
      </c>
      <c r="E140" s="0" t="s">
        <v>260</v>
      </c>
      <c r="F140" s="0" t="s">
        <v>143</v>
      </c>
      <c r="G140" s="0" t="s">
        <v>144</v>
      </c>
      <c r="H140" s="5" t="n">
        <v>17</v>
      </c>
      <c r="I140" s="6" t="s">
        <v>288</v>
      </c>
      <c r="J140" s="6" t="s">
        <v>289</v>
      </c>
    </row>
    <row r="141" customFormat="false" ht="15" hidden="false" customHeight="false" outlineLevel="0" collapsed="false">
      <c r="A141" s="0" t="s">
        <v>290</v>
      </c>
      <c r="B141" s="0" t="s">
        <v>257</v>
      </c>
      <c r="C141" s="0" t="s">
        <v>258</v>
      </c>
      <c r="D141" s="0" t="s">
        <v>287</v>
      </c>
      <c r="E141" s="0" t="s">
        <v>260</v>
      </c>
      <c r="F141" s="0" t="s">
        <v>143</v>
      </c>
      <c r="G141" s="0" t="s">
        <v>144</v>
      </c>
      <c r="H141" s="5"/>
      <c r="J141" s="6" t="s">
        <v>291</v>
      </c>
    </row>
    <row r="142" customFormat="false" ht="15" hidden="false" customHeight="false" outlineLevel="0" collapsed="false">
      <c r="A142" s="0" t="s">
        <v>292</v>
      </c>
      <c r="B142" s="0" t="s">
        <v>257</v>
      </c>
      <c r="C142" s="0" t="s">
        <v>258</v>
      </c>
      <c r="D142" s="0" t="s">
        <v>287</v>
      </c>
      <c r="E142" s="0" t="s">
        <v>260</v>
      </c>
      <c r="F142" s="0" t="s">
        <v>143</v>
      </c>
      <c r="G142" s="0" t="s">
        <v>144</v>
      </c>
      <c r="H142" s="5"/>
      <c r="J142" s="6" t="s">
        <v>293</v>
      </c>
    </row>
    <row r="143" customFormat="false" ht="15" hidden="false" customHeight="false" outlineLevel="0" collapsed="false">
      <c r="A143" s="0" t="s">
        <v>294</v>
      </c>
      <c r="B143" s="0" t="s">
        <v>257</v>
      </c>
      <c r="C143" s="0" t="s">
        <v>295</v>
      </c>
      <c r="D143" s="0" t="s">
        <v>296</v>
      </c>
      <c r="E143" s="0" t="s">
        <v>297</v>
      </c>
      <c r="F143" s="0" t="s">
        <v>261</v>
      </c>
      <c r="H143" s="5" t="n">
        <v>84694.4</v>
      </c>
      <c r="I143" s="6" t="s">
        <v>262</v>
      </c>
      <c r="J143" s="6" t="s">
        <v>298</v>
      </c>
    </row>
    <row r="144" customFormat="false" ht="15" hidden="false" customHeight="false" outlineLevel="0" collapsed="false">
      <c r="A144" s="0" t="s">
        <v>299</v>
      </c>
      <c r="B144" s="0" t="s">
        <v>257</v>
      </c>
      <c r="C144" s="0" t="s">
        <v>295</v>
      </c>
      <c r="D144" s="0" t="s">
        <v>296</v>
      </c>
      <c r="E144" s="0" t="s">
        <v>300</v>
      </c>
      <c r="F144" s="0" t="s">
        <v>143</v>
      </c>
      <c r="G144" s="0" t="s">
        <v>294</v>
      </c>
      <c r="H144" s="5" t="n">
        <v>5452.3</v>
      </c>
      <c r="I144" s="6" t="s">
        <v>57</v>
      </c>
      <c r="J144" s="6" t="s">
        <v>301</v>
      </c>
    </row>
    <row r="145" customFormat="false" ht="15" hidden="false" customHeight="false" outlineLevel="0" collapsed="false">
      <c r="A145" s="0" t="s">
        <v>302</v>
      </c>
      <c r="B145" s="0" t="s">
        <v>257</v>
      </c>
      <c r="C145" s="0" t="s">
        <v>295</v>
      </c>
      <c r="D145" s="0" t="s">
        <v>296</v>
      </c>
      <c r="E145" s="0" t="s">
        <v>300</v>
      </c>
      <c r="F145" s="0" t="s">
        <v>143</v>
      </c>
      <c r="G145" s="0" t="s">
        <v>294</v>
      </c>
      <c r="H145" s="5" t="n">
        <v>4000</v>
      </c>
      <c r="I145" s="6" t="s">
        <v>262</v>
      </c>
      <c r="J145" s="6" t="s">
        <v>303</v>
      </c>
    </row>
    <row r="146" customFormat="false" ht="15" hidden="false" customHeight="false" outlineLevel="0" collapsed="false">
      <c r="A146" s="0" t="s">
        <v>304</v>
      </c>
      <c r="B146" s="0" t="s">
        <v>257</v>
      </c>
      <c r="C146" s="0" t="s">
        <v>295</v>
      </c>
      <c r="D146" s="0" t="s">
        <v>296</v>
      </c>
      <c r="E146" s="0" t="s">
        <v>300</v>
      </c>
      <c r="F146" s="0" t="s">
        <v>143</v>
      </c>
      <c r="G146" s="0" t="s">
        <v>294</v>
      </c>
      <c r="H146" s="5" t="n">
        <v>1411</v>
      </c>
      <c r="I146" s="6" t="s">
        <v>262</v>
      </c>
      <c r="J146" s="6" t="s">
        <v>305</v>
      </c>
    </row>
    <row r="147" customFormat="false" ht="15" hidden="false" customHeight="false" outlineLevel="0" collapsed="false">
      <c r="A147" s="0" t="s">
        <v>306</v>
      </c>
      <c r="B147" s="0" t="s">
        <v>257</v>
      </c>
      <c r="C147" s="0" t="s">
        <v>295</v>
      </c>
      <c r="D147" s="0" t="s">
        <v>296</v>
      </c>
      <c r="E147" s="0" t="s">
        <v>300</v>
      </c>
      <c r="F147" s="0" t="s">
        <v>143</v>
      </c>
      <c r="G147" s="0" t="s">
        <v>294</v>
      </c>
      <c r="H147" s="5" t="n">
        <v>500</v>
      </c>
      <c r="I147" s="6" t="s">
        <v>262</v>
      </c>
      <c r="J147" s="6" t="s">
        <v>307</v>
      </c>
    </row>
    <row r="148" customFormat="false" ht="15" hidden="false" customHeight="false" outlineLevel="0" collapsed="false">
      <c r="A148" s="0" t="s">
        <v>308</v>
      </c>
      <c r="B148" s="0" t="s">
        <v>257</v>
      </c>
      <c r="C148" s="0" t="s">
        <v>295</v>
      </c>
      <c r="D148" s="0" t="s">
        <v>296</v>
      </c>
      <c r="E148" s="0" t="s">
        <v>300</v>
      </c>
      <c r="F148" s="0" t="s">
        <v>143</v>
      </c>
      <c r="G148" s="0" t="s">
        <v>294</v>
      </c>
      <c r="H148" s="5" t="n">
        <v>374</v>
      </c>
      <c r="I148" s="6" t="s">
        <v>152</v>
      </c>
      <c r="J148" s="6" t="s">
        <v>309</v>
      </c>
    </row>
    <row r="149" customFormat="false" ht="15" hidden="false" customHeight="false" outlineLevel="0" collapsed="false">
      <c r="A149" s="0" t="s">
        <v>310</v>
      </c>
      <c r="B149" s="0" t="s">
        <v>257</v>
      </c>
      <c r="C149" s="0" t="s">
        <v>295</v>
      </c>
      <c r="D149" s="0" t="s">
        <v>296</v>
      </c>
      <c r="E149" s="0" t="s">
        <v>300</v>
      </c>
      <c r="F149" s="0" t="s">
        <v>143</v>
      </c>
      <c r="G149" s="0" t="s">
        <v>294</v>
      </c>
      <c r="H149" s="5" t="n">
        <v>200</v>
      </c>
      <c r="I149" s="6" t="s">
        <v>262</v>
      </c>
      <c r="J149" s="6" t="s">
        <v>311</v>
      </c>
    </row>
    <row r="150" customFormat="false" ht="15" hidden="false" customHeight="false" outlineLevel="0" collapsed="false">
      <c r="A150" s="0" t="s">
        <v>312</v>
      </c>
      <c r="B150" s="0" t="s">
        <v>257</v>
      </c>
      <c r="C150" s="0" t="s">
        <v>295</v>
      </c>
      <c r="D150" s="0" t="s">
        <v>296</v>
      </c>
      <c r="E150" s="0" t="s">
        <v>300</v>
      </c>
      <c r="F150" s="0" t="s">
        <v>143</v>
      </c>
      <c r="G150" s="0" t="s">
        <v>294</v>
      </c>
      <c r="H150" s="5"/>
      <c r="J150" s="6" t="s">
        <v>313</v>
      </c>
    </row>
    <row r="151" customFormat="false" ht="15" hidden="false" customHeight="false" outlineLevel="0" collapsed="false">
      <c r="A151" s="0" t="s">
        <v>314</v>
      </c>
      <c r="B151" s="0" t="s">
        <v>257</v>
      </c>
      <c r="C151" s="0" t="s">
        <v>295</v>
      </c>
      <c r="D151" s="0" t="s">
        <v>315</v>
      </c>
      <c r="E151" s="0" t="s">
        <v>300</v>
      </c>
      <c r="F151" s="0" t="s">
        <v>143</v>
      </c>
      <c r="G151" s="0" t="s">
        <v>294</v>
      </c>
      <c r="H151" s="5" t="n">
        <v>700</v>
      </c>
      <c r="I151" s="6" t="s">
        <v>316</v>
      </c>
      <c r="J151" s="6" t="s">
        <v>317</v>
      </c>
    </row>
    <row r="152" customFormat="false" ht="15" hidden="false" customHeight="false" outlineLevel="0" collapsed="false">
      <c r="A152" s="0" t="s">
        <v>318</v>
      </c>
      <c r="B152" s="0" t="s">
        <v>257</v>
      </c>
      <c r="C152" s="0" t="s">
        <v>295</v>
      </c>
      <c r="D152" s="0" t="s">
        <v>315</v>
      </c>
      <c r="E152" s="0" t="s">
        <v>300</v>
      </c>
      <c r="F152" s="0" t="s">
        <v>143</v>
      </c>
      <c r="G152" s="0" t="s">
        <v>294</v>
      </c>
      <c r="H152" s="5" t="n">
        <v>658.9</v>
      </c>
      <c r="I152" s="6" t="s">
        <v>319</v>
      </c>
      <c r="J152" s="6" t="s">
        <v>320</v>
      </c>
    </row>
    <row r="153" customFormat="false" ht="15" hidden="false" customHeight="false" outlineLevel="0" collapsed="false">
      <c r="A153" s="0" t="s">
        <v>321</v>
      </c>
      <c r="B153" s="0" t="s">
        <v>257</v>
      </c>
      <c r="C153" s="0" t="s">
        <v>295</v>
      </c>
      <c r="D153" s="0" t="s">
        <v>315</v>
      </c>
      <c r="E153" s="0" t="s">
        <v>300</v>
      </c>
      <c r="F153" s="0" t="s">
        <v>143</v>
      </c>
      <c r="G153" s="0" t="s">
        <v>294</v>
      </c>
      <c r="H153" s="5" t="n">
        <v>271.1</v>
      </c>
      <c r="I153" s="6" t="s">
        <v>319</v>
      </c>
      <c r="J153" s="6" t="s">
        <v>322</v>
      </c>
    </row>
    <row r="154" customFormat="false" ht="15" hidden="false" customHeight="false" outlineLevel="0" collapsed="false">
      <c r="A154" s="0" t="s">
        <v>323</v>
      </c>
      <c r="B154" s="0" t="s">
        <v>257</v>
      </c>
      <c r="C154" s="0" t="s">
        <v>295</v>
      </c>
      <c r="D154" s="0" t="s">
        <v>315</v>
      </c>
      <c r="E154" s="0" t="s">
        <v>300</v>
      </c>
      <c r="F154" s="0" t="s">
        <v>143</v>
      </c>
      <c r="G154" s="0" t="s">
        <v>294</v>
      </c>
      <c r="H154" s="5" t="n">
        <v>48.2</v>
      </c>
      <c r="I154" s="6" t="s">
        <v>319</v>
      </c>
      <c r="J154" s="6" t="s">
        <v>324</v>
      </c>
    </row>
    <row r="155" customFormat="false" ht="15" hidden="false" customHeight="false" outlineLevel="0" collapsed="false">
      <c r="A155" s="0" t="s">
        <v>325</v>
      </c>
      <c r="B155" s="0" t="s">
        <v>257</v>
      </c>
      <c r="C155" s="0" t="s">
        <v>295</v>
      </c>
      <c r="D155" s="0" t="s">
        <v>315</v>
      </c>
      <c r="E155" s="0" t="s">
        <v>300</v>
      </c>
      <c r="F155" s="0" t="s">
        <v>143</v>
      </c>
      <c r="G155" s="0" t="s">
        <v>294</v>
      </c>
      <c r="H155" s="5"/>
      <c r="J155" s="6" t="s">
        <v>326</v>
      </c>
    </row>
    <row r="156" customFormat="false" ht="15" hidden="false" customHeight="false" outlineLevel="0" collapsed="false">
      <c r="A156" s="0" t="s">
        <v>327</v>
      </c>
      <c r="B156" s="0" t="s">
        <v>257</v>
      </c>
      <c r="C156" s="0" t="s">
        <v>295</v>
      </c>
      <c r="D156" s="0" t="s">
        <v>315</v>
      </c>
      <c r="E156" s="0" t="s">
        <v>300</v>
      </c>
      <c r="F156" s="0" t="s">
        <v>143</v>
      </c>
      <c r="G156" s="0" t="s">
        <v>294</v>
      </c>
      <c r="H156" s="5"/>
      <c r="J156" s="6" t="s">
        <v>324</v>
      </c>
    </row>
    <row r="157" customFormat="false" ht="15" hidden="false" customHeight="false" outlineLevel="0" collapsed="false">
      <c r="A157" s="0" t="s">
        <v>328</v>
      </c>
      <c r="B157" s="0" t="s">
        <v>257</v>
      </c>
      <c r="C157" s="0" t="s">
        <v>295</v>
      </c>
      <c r="D157" s="0" t="s">
        <v>315</v>
      </c>
      <c r="E157" s="0" t="s">
        <v>300</v>
      </c>
      <c r="F157" s="0" t="s">
        <v>143</v>
      </c>
      <c r="G157" s="0" t="s">
        <v>294</v>
      </c>
      <c r="H157" s="5"/>
      <c r="J157" s="6" t="s">
        <v>324</v>
      </c>
    </row>
    <row r="158" customFormat="false" ht="15" hidden="false" customHeight="false" outlineLevel="0" collapsed="false">
      <c r="A158" s="0" t="s">
        <v>329</v>
      </c>
      <c r="B158" s="0" t="s">
        <v>257</v>
      </c>
      <c r="C158" s="0" t="s">
        <v>295</v>
      </c>
      <c r="D158" s="0" t="s">
        <v>315</v>
      </c>
      <c r="E158" s="0" t="s">
        <v>300</v>
      </c>
      <c r="F158" s="0" t="s">
        <v>143</v>
      </c>
      <c r="G158" s="0" t="s">
        <v>294</v>
      </c>
      <c r="H158" s="5"/>
      <c r="J158" s="6" t="s">
        <v>330</v>
      </c>
    </row>
    <row r="159" customFormat="false" ht="15" hidden="false" customHeight="false" outlineLevel="0" collapsed="false">
      <c r="A159" s="0" t="s">
        <v>331</v>
      </c>
      <c r="B159" s="0" t="s">
        <v>257</v>
      </c>
      <c r="C159" s="0" t="s">
        <v>295</v>
      </c>
      <c r="D159" s="0" t="s">
        <v>332</v>
      </c>
      <c r="E159" s="0" t="s">
        <v>333</v>
      </c>
      <c r="F159" s="0" t="s">
        <v>143</v>
      </c>
      <c r="G159" s="0" t="s">
        <v>294</v>
      </c>
      <c r="H159" s="5" t="n">
        <v>2741.3</v>
      </c>
      <c r="I159" s="6" t="s">
        <v>262</v>
      </c>
      <c r="J159" s="6" t="s">
        <v>334</v>
      </c>
    </row>
    <row r="160" customFormat="false" ht="15" hidden="false" customHeight="false" outlineLevel="0" collapsed="false">
      <c r="A160" s="0" t="s">
        <v>335</v>
      </c>
      <c r="B160" s="0" t="s">
        <v>257</v>
      </c>
      <c r="C160" s="0" t="s">
        <v>295</v>
      </c>
      <c r="D160" s="0" t="s">
        <v>332</v>
      </c>
      <c r="E160" s="0" t="s">
        <v>333</v>
      </c>
      <c r="F160" s="0" t="s">
        <v>143</v>
      </c>
      <c r="G160" s="0" t="s">
        <v>294</v>
      </c>
      <c r="H160" s="5" t="n">
        <v>326.3</v>
      </c>
      <c r="I160" s="6" t="s">
        <v>336</v>
      </c>
      <c r="J160" s="6" t="s">
        <v>337</v>
      </c>
    </row>
    <row r="161" customFormat="false" ht="15" hidden="false" customHeight="false" outlineLevel="0" collapsed="false">
      <c r="A161" s="0" t="s">
        <v>338</v>
      </c>
      <c r="B161" s="0" t="s">
        <v>257</v>
      </c>
      <c r="C161" s="0" t="s">
        <v>295</v>
      </c>
      <c r="D161" s="0" t="s">
        <v>339</v>
      </c>
      <c r="E161" s="0" t="s">
        <v>333</v>
      </c>
      <c r="F161" s="0" t="s">
        <v>143</v>
      </c>
      <c r="G161" s="0" t="s">
        <v>294</v>
      </c>
      <c r="H161" s="5" t="n">
        <v>793.2</v>
      </c>
      <c r="I161" s="6" t="s">
        <v>340</v>
      </c>
      <c r="J161" s="6" t="s">
        <v>341</v>
      </c>
    </row>
    <row r="162" customFormat="false" ht="15" hidden="false" customHeight="false" outlineLevel="0" collapsed="false">
      <c r="A162" s="0" t="s">
        <v>342</v>
      </c>
      <c r="B162" s="0" t="s">
        <v>257</v>
      </c>
      <c r="C162" s="0" t="s">
        <v>295</v>
      </c>
      <c r="D162" s="0" t="s">
        <v>339</v>
      </c>
      <c r="E162" s="0" t="s">
        <v>333</v>
      </c>
      <c r="F162" s="0" t="s">
        <v>143</v>
      </c>
      <c r="G162" s="0" t="s">
        <v>294</v>
      </c>
      <c r="H162" s="5" t="n">
        <v>376.8</v>
      </c>
      <c r="I162" s="6" t="s">
        <v>343</v>
      </c>
      <c r="J162" s="6" t="s">
        <v>344</v>
      </c>
    </row>
    <row r="163" customFormat="false" ht="15" hidden="false" customHeight="false" outlineLevel="0" collapsed="false">
      <c r="A163" s="0" t="s">
        <v>345</v>
      </c>
      <c r="B163" s="0" t="s">
        <v>257</v>
      </c>
      <c r="C163" s="0" t="s">
        <v>295</v>
      </c>
      <c r="D163" s="0" t="s">
        <v>339</v>
      </c>
      <c r="E163" s="0" t="s">
        <v>333</v>
      </c>
      <c r="F163" s="0" t="s">
        <v>143</v>
      </c>
      <c r="G163" s="0" t="s">
        <v>294</v>
      </c>
      <c r="H163" s="5" t="n">
        <v>133.3</v>
      </c>
      <c r="I163" s="6" t="s">
        <v>346</v>
      </c>
      <c r="J163" s="6" t="s">
        <v>341</v>
      </c>
    </row>
    <row r="164" customFormat="false" ht="15" hidden="false" customHeight="false" outlineLevel="0" collapsed="false">
      <c r="A164" s="0" t="s">
        <v>347</v>
      </c>
      <c r="B164" s="0" t="s">
        <v>257</v>
      </c>
      <c r="C164" s="0" t="s">
        <v>295</v>
      </c>
      <c r="D164" s="0" t="s">
        <v>339</v>
      </c>
      <c r="E164" s="0" t="s">
        <v>333</v>
      </c>
      <c r="F164" s="0" t="s">
        <v>143</v>
      </c>
      <c r="G164" s="0" t="s">
        <v>294</v>
      </c>
      <c r="H164" s="5" t="n">
        <v>86.2</v>
      </c>
      <c r="I164" s="6" t="s">
        <v>348</v>
      </c>
      <c r="J164" s="6" t="s">
        <v>349</v>
      </c>
    </row>
    <row r="165" customFormat="false" ht="15" hidden="false" customHeight="false" outlineLevel="0" collapsed="false">
      <c r="A165" s="0" t="s">
        <v>350</v>
      </c>
      <c r="B165" s="0" t="s">
        <v>257</v>
      </c>
      <c r="C165" s="0" t="s">
        <v>295</v>
      </c>
      <c r="D165" s="0" t="s">
        <v>339</v>
      </c>
      <c r="E165" s="0" t="s">
        <v>333</v>
      </c>
      <c r="F165" s="0" t="s">
        <v>143</v>
      </c>
      <c r="G165" s="0" t="s">
        <v>294</v>
      </c>
      <c r="H165" s="5" t="n">
        <v>63.2</v>
      </c>
      <c r="I165" s="6" t="s">
        <v>346</v>
      </c>
      <c r="J165" s="6" t="s">
        <v>341</v>
      </c>
    </row>
    <row r="166" customFormat="false" ht="15" hidden="false" customHeight="false" outlineLevel="0" collapsed="false">
      <c r="A166" s="0" t="s">
        <v>351</v>
      </c>
      <c r="B166" s="0" t="s">
        <v>257</v>
      </c>
      <c r="C166" s="0" t="s">
        <v>295</v>
      </c>
      <c r="D166" s="0" t="s">
        <v>339</v>
      </c>
      <c r="E166" s="0" t="s">
        <v>333</v>
      </c>
      <c r="F166" s="0" t="s">
        <v>143</v>
      </c>
      <c r="G166" s="0" t="s">
        <v>294</v>
      </c>
      <c r="H166" s="5" t="n">
        <v>57.9</v>
      </c>
      <c r="I166" s="6" t="s">
        <v>352</v>
      </c>
      <c r="J166" s="6" t="s">
        <v>341</v>
      </c>
    </row>
    <row r="167" customFormat="false" ht="15" hidden="false" customHeight="false" outlineLevel="0" collapsed="false">
      <c r="A167" s="0" t="s">
        <v>353</v>
      </c>
      <c r="B167" s="0" t="s">
        <v>257</v>
      </c>
      <c r="C167" s="0" t="s">
        <v>295</v>
      </c>
      <c r="D167" s="0" t="s">
        <v>339</v>
      </c>
      <c r="E167" s="0" t="s">
        <v>333</v>
      </c>
      <c r="F167" s="0" t="s">
        <v>143</v>
      </c>
      <c r="G167" s="0" t="s">
        <v>294</v>
      </c>
      <c r="H167" s="5" t="n">
        <v>17.4</v>
      </c>
      <c r="I167" s="6" t="s">
        <v>354</v>
      </c>
      <c r="J167" s="6" t="s">
        <v>355</v>
      </c>
    </row>
    <row r="168" customFormat="false" ht="15" hidden="false" customHeight="false" outlineLevel="0" collapsed="false">
      <c r="A168" s="0" t="s">
        <v>356</v>
      </c>
      <c r="B168" s="0" t="s">
        <v>257</v>
      </c>
      <c r="C168" s="0" t="s">
        <v>295</v>
      </c>
      <c r="D168" s="0" t="s">
        <v>339</v>
      </c>
      <c r="E168" s="0" t="s">
        <v>333</v>
      </c>
      <c r="F168" s="0" t="s">
        <v>143</v>
      </c>
      <c r="G168" s="0" t="s">
        <v>294</v>
      </c>
      <c r="H168" s="5" t="n">
        <v>3.3</v>
      </c>
      <c r="I168" s="6" t="s">
        <v>357</v>
      </c>
      <c r="J168" s="6" t="s">
        <v>358</v>
      </c>
    </row>
    <row r="169" customFormat="false" ht="15" hidden="false" customHeight="false" outlineLevel="0" collapsed="false">
      <c r="A169" s="0" t="s">
        <v>359</v>
      </c>
      <c r="B169" s="0" t="s">
        <v>257</v>
      </c>
      <c r="C169" s="0" t="s">
        <v>295</v>
      </c>
      <c r="D169" s="0" t="s">
        <v>339</v>
      </c>
      <c r="E169" s="0" t="s">
        <v>333</v>
      </c>
      <c r="F169" s="0" t="s">
        <v>143</v>
      </c>
      <c r="G169" s="0" t="s">
        <v>294</v>
      </c>
      <c r="H169" s="5" t="n">
        <v>0.8</v>
      </c>
      <c r="I169" s="6" t="s">
        <v>360</v>
      </c>
      <c r="J169" s="6" t="s">
        <v>361</v>
      </c>
    </row>
    <row r="170" customFormat="false" ht="15" hidden="false" customHeight="false" outlineLevel="0" collapsed="false">
      <c r="A170" s="0" t="s">
        <v>362</v>
      </c>
      <c r="B170" s="0" t="s">
        <v>257</v>
      </c>
      <c r="C170" s="0" t="s">
        <v>295</v>
      </c>
      <c r="D170" s="0" t="s">
        <v>339</v>
      </c>
      <c r="E170" s="0" t="s">
        <v>333</v>
      </c>
      <c r="F170" s="0" t="s">
        <v>143</v>
      </c>
      <c r="G170" s="0" t="s">
        <v>294</v>
      </c>
      <c r="H170" s="5" t="n">
        <v>0</v>
      </c>
      <c r="I170" s="6" t="s">
        <v>262</v>
      </c>
      <c r="J170" s="6" t="s">
        <v>363</v>
      </c>
    </row>
    <row r="171" customFormat="false" ht="15" hidden="false" customHeight="false" outlineLevel="0" collapsed="false">
      <c r="A171" s="0" t="s">
        <v>364</v>
      </c>
      <c r="B171" s="0" t="s">
        <v>257</v>
      </c>
      <c r="C171" s="0" t="s">
        <v>295</v>
      </c>
      <c r="D171" s="0" t="s">
        <v>339</v>
      </c>
      <c r="E171" s="0" t="s">
        <v>333</v>
      </c>
      <c r="F171" s="0" t="s">
        <v>143</v>
      </c>
      <c r="G171" s="0" t="s">
        <v>294</v>
      </c>
      <c r="H171" s="5"/>
      <c r="I171" s="6" t="s">
        <v>365</v>
      </c>
      <c r="J171" s="6" t="s">
        <v>366</v>
      </c>
    </row>
    <row r="172" customFormat="false" ht="15" hidden="false" customHeight="false" outlineLevel="0" collapsed="false">
      <c r="A172" s="0" t="s">
        <v>367</v>
      </c>
      <c r="B172" s="0" t="s">
        <v>257</v>
      </c>
      <c r="C172" s="0" t="s">
        <v>295</v>
      </c>
      <c r="D172" s="0" t="s">
        <v>339</v>
      </c>
      <c r="E172" s="0" t="s">
        <v>333</v>
      </c>
      <c r="F172" s="0" t="s">
        <v>143</v>
      </c>
      <c r="G172" s="0" t="s">
        <v>294</v>
      </c>
      <c r="H172" s="5"/>
      <c r="J172" s="6" t="s">
        <v>368</v>
      </c>
    </row>
    <row r="173" customFormat="false" ht="15" hidden="false" customHeight="false" outlineLevel="0" collapsed="false">
      <c r="A173" s="0" t="s">
        <v>369</v>
      </c>
      <c r="B173" s="0" t="s">
        <v>257</v>
      </c>
      <c r="C173" s="0" t="s">
        <v>295</v>
      </c>
      <c r="D173" s="0" t="s">
        <v>339</v>
      </c>
      <c r="E173" s="0" t="s">
        <v>333</v>
      </c>
      <c r="F173" s="0" t="s">
        <v>143</v>
      </c>
      <c r="G173" s="0" t="s">
        <v>294</v>
      </c>
      <c r="H173" s="5"/>
      <c r="J173" s="6" t="s">
        <v>370</v>
      </c>
    </row>
    <row r="174" customFormat="false" ht="15" hidden="false" customHeight="false" outlineLevel="0" collapsed="false">
      <c r="A174" s="0" t="s">
        <v>371</v>
      </c>
      <c r="B174" s="0" t="s">
        <v>257</v>
      </c>
      <c r="C174" s="0" t="s">
        <v>295</v>
      </c>
      <c r="D174" s="0" t="s">
        <v>339</v>
      </c>
      <c r="E174" s="0" t="s">
        <v>333</v>
      </c>
      <c r="F174" s="0" t="s">
        <v>143</v>
      </c>
      <c r="G174" s="0" t="s">
        <v>294</v>
      </c>
      <c r="H174" s="5"/>
      <c r="J174" s="6" t="s">
        <v>372</v>
      </c>
    </row>
    <row r="175" customFormat="false" ht="15" hidden="false" customHeight="false" outlineLevel="0" collapsed="false">
      <c r="A175" s="0" t="s">
        <v>373</v>
      </c>
      <c r="B175" s="0" t="s">
        <v>257</v>
      </c>
      <c r="C175" s="0" t="s">
        <v>295</v>
      </c>
      <c r="D175" s="0" t="s">
        <v>339</v>
      </c>
      <c r="E175" s="0" t="s">
        <v>333</v>
      </c>
      <c r="F175" s="0" t="s">
        <v>143</v>
      </c>
      <c r="G175" s="0" t="s">
        <v>294</v>
      </c>
      <c r="H175" s="5"/>
      <c r="J175" s="6" t="s">
        <v>374</v>
      </c>
    </row>
    <row r="176" customFormat="false" ht="15" hidden="false" customHeight="false" outlineLevel="0" collapsed="false">
      <c r="A176" s="0" t="s">
        <v>375</v>
      </c>
      <c r="B176" s="0" t="s">
        <v>257</v>
      </c>
      <c r="C176" s="0" t="s">
        <v>295</v>
      </c>
      <c r="D176" s="0" t="s">
        <v>339</v>
      </c>
      <c r="E176" s="0" t="s">
        <v>333</v>
      </c>
      <c r="F176" s="0" t="s">
        <v>143</v>
      </c>
      <c r="G176" s="0" t="s">
        <v>294</v>
      </c>
      <c r="H176" s="5"/>
      <c r="J176" s="6" t="s">
        <v>376</v>
      </c>
    </row>
    <row r="177" customFormat="false" ht="15" hidden="false" customHeight="false" outlineLevel="0" collapsed="false">
      <c r="A177" s="0" t="s">
        <v>377</v>
      </c>
      <c r="B177" s="0" t="s">
        <v>257</v>
      </c>
      <c r="C177" s="0" t="s">
        <v>295</v>
      </c>
      <c r="D177" s="0" t="s">
        <v>339</v>
      </c>
      <c r="E177" s="0" t="s">
        <v>333</v>
      </c>
      <c r="F177" s="0" t="s">
        <v>143</v>
      </c>
      <c r="G177" s="0" t="s">
        <v>294</v>
      </c>
      <c r="H177" s="5"/>
      <c r="J177" s="6" t="s">
        <v>378</v>
      </c>
    </row>
    <row r="178" customFormat="false" ht="15" hidden="false" customHeight="false" outlineLevel="0" collapsed="false">
      <c r="A178" s="0" t="s">
        <v>379</v>
      </c>
      <c r="B178" s="0" t="s">
        <v>257</v>
      </c>
      <c r="C178" s="0" t="s">
        <v>295</v>
      </c>
      <c r="D178" s="0" t="s">
        <v>339</v>
      </c>
      <c r="E178" s="0" t="s">
        <v>333</v>
      </c>
      <c r="F178" s="0" t="s">
        <v>143</v>
      </c>
      <c r="G178" s="0" t="s">
        <v>294</v>
      </c>
      <c r="H178" s="5"/>
      <c r="J178" s="6" t="s">
        <v>380</v>
      </c>
    </row>
    <row r="179" customFormat="false" ht="15" hidden="false" customHeight="false" outlineLevel="0" collapsed="false">
      <c r="A179" s="0" t="s">
        <v>381</v>
      </c>
      <c r="B179" s="0" t="s">
        <v>257</v>
      </c>
      <c r="C179" s="0" t="s">
        <v>295</v>
      </c>
      <c r="D179" s="0" t="s">
        <v>382</v>
      </c>
      <c r="E179" s="0" t="s">
        <v>333</v>
      </c>
      <c r="F179" s="0" t="s">
        <v>143</v>
      </c>
      <c r="G179" s="0" t="s">
        <v>294</v>
      </c>
      <c r="H179" s="5" t="n">
        <v>129.9</v>
      </c>
      <c r="I179" s="6" t="s">
        <v>319</v>
      </c>
      <c r="J179" s="6" t="s">
        <v>383</v>
      </c>
    </row>
    <row r="180" customFormat="false" ht="15" hidden="false" customHeight="false" outlineLevel="0" collapsed="false">
      <c r="A180" s="0" t="s">
        <v>384</v>
      </c>
      <c r="B180" s="0" t="s">
        <v>257</v>
      </c>
      <c r="C180" s="0" t="s">
        <v>295</v>
      </c>
      <c r="D180" s="0" t="s">
        <v>385</v>
      </c>
      <c r="E180" s="0" t="s">
        <v>333</v>
      </c>
      <c r="F180" s="0" t="s">
        <v>143</v>
      </c>
      <c r="G180" s="0" t="s">
        <v>294</v>
      </c>
      <c r="H180" s="5" t="n">
        <v>590.2</v>
      </c>
      <c r="I180" s="6" t="s">
        <v>386</v>
      </c>
      <c r="J180" s="6" t="s">
        <v>387</v>
      </c>
    </row>
    <row r="181" customFormat="false" ht="15" hidden="false" customHeight="false" outlineLevel="0" collapsed="false">
      <c r="A181" s="0" t="s">
        <v>388</v>
      </c>
      <c r="B181" s="0" t="s">
        <v>257</v>
      </c>
      <c r="C181" s="0" t="s">
        <v>295</v>
      </c>
      <c r="D181" s="0" t="s">
        <v>385</v>
      </c>
      <c r="E181" s="0" t="s">
        <v>333</v>
      </c>
      <c r="F181" s="0" t="s">
        <v>143</v>
      </c>
      <c r="G181" s="0" t="s">
        <v>294</v>
      </c>
      <c r="H181" s="5" t="n">
        <v>38</v>
      </c>
      <c r="I181" s="6" t="s">
        <v>386</v>
      </c>
      <c r="J181" s="6" t="s">
        <v>389</v>
      </c>
    </row>
    <row r="182" customFormat="false" ht="15" hidden="false" customHeight="false" outlineLevel="0" collapsed="false">
      <c r="A182" s="0" t="s">
        <v>390</v>
      </c>
      <c r="B182" s="0" t="s">
        <v>257</v>
      </c>
      <c r="C182" s="0" t="s">
        <v>295</v>
      </c>
      <c r="D182" s="0" t="s">
        <v>385</v>
      </c>
      <c r="E182" s="0" t="s">
        <v>333</v>
      </c>
      <c r="F182" s="0" t="s">
        <v>143</v>
      </c>
      <c r="G182" s="0" t="s">
        <v>294</v>
      </c>
      <c r="H182" s="5" t="n">
        <v>11.3</v>
      </c>
      <c r="I182" s="6" t="s">
        <v>226</v>
      </c>
      <c r="J182" s="6" t="s">
        <v>391</v>
      </c>
    </row>
    <row r="183" customFormat="false" ht="15" hidden="false" customHeight="false" outlineLevel="0" collapsed="false">
      <c r="A183" s="0" t="s">
        <v>392</v>
      </c>
      <c r="B183" s="0" t="s">
        <v>257</v>
      </c>
      <c r="C183" s="0" t="s">
        <v>295</v>
      </c>
      <c r="D183" s="0" t="s">
        <v>393</v>
      </c>
      <c r="E183" s="0" t="s">
        <v>394</v>
      </c>
      <c r="F183" s="0" t="s">
        <v>143</v>
      </c>
      <c r="G183" s="0" t="s">
        <v>294</v>
      </c>
      <c r="H183" s="5" t="n">
        <v>1356</v>
      </c>
      <c r="I183" s="6" t="s">
        <v>262</v>
      </c>
      <c r="J183" s="6" t="s">
        <v>395</v>
      </c>
    </row>
    <row r="184" customFormat="false" ht="15" hidden="false" customHeight="false" outlineLevel="0" collapsed="false">
      <c r="A184" s="0" t="s">
        <v>396</v>
      </c>
      <c r="B184" s="0" t="s">
        <v>257</v>
      </c>
      <c r="C184" s="0" t="s">
        <v>295</v>
      </c>
      <c r="D184" s="0" t="s">
        <v>393</v>
      </c>
      <c r="E184" s="0" t="s">
        <v>397</v>
      </c>
      <c r="F184" s="0" t="s">
        <v>143</v>
      </c>
      <c r="G184" s="0" t="s">
        <v>294</v>
      </c>
      <c r="H184" s="5" t="n">
        <v>1210</v>
      </c>
      <c r="I184" s="6" t="s">
        <v>175</v>
      </c>
      <c r="J184" s="6" t="s">
        <v>398</v>
      </c>
    </row>
    <row r="185" customFormat="false" ht="15" hidden="false" customHeight="false" outlineLevel="0" collapsed="false">
      <c r="A185" s="0" t="s">
        <v>399</v>
      </c>
      <c r="B185" s="0" t="s">
        <v>257</v>
      </c>
      <c r="C185" s="0" t="s">
        <v>295</v>
      </c>
      <c r="D185" s="0" t="s">
        <v>393</v>
      </c>
      <c r="E185" s="0" t="s">
        <v>397</v>
      </c>
      <c r="F185" s="0" t="s">
        <v>143</v>
      </c>
      <c r="G185" s="0" t="s">
        <v>294</v>
      </c>
      <c r="H185" s="5" t="n">
        <v>176.5</v>
      </c>
      <c r="I185" s="6" t="s">
        <v>262</v>
      </c>
      <c r="J185" s="6" t="s">
        <v>400</v>
      </c>
    </row>
    <row r="186" customFormat="false" ht="15" hidden="false" customHeight="false" outlineLevel="0" collapsed="false">
      <c r="A186" s="0" t="s">
        <v>401</v>
      </c>
      <c r="B186" s="0" t="s">
        <v>257</v>
      </c>
      <c r="C186" s="0" t="s">
        <v>295</v>
      </c>
      <c r="D186" s="0" t="s">
        <v>393</v>
      </c>
      <c r="E186" s="0" t="s">
        <v>333</v>
      </c>
      <c r="F186" s="0" t="s">
        <v>143</v>
      </c>
      <c r="G186" s="0" t="s">
        <v>294</v>
      </c>
      <c r="H186" s="5" t="n">
        <v>18</v>
      </c>
      <c r="I186" s="6" t="s">
        <v>402</v>
      </c>
      <c r="J186" s="6" t="s">
        <v>403</v>
      </c>
    </row>
    <row r="187" customFormat="false" ht="15" hidden="false" customHeight="false" outlineLevel="0" collapsed="false">
      <c r="A187" s="0" t="s">
        <v>404</v>
      </c>
      <c r="B187" s="0" t="s">
        <v>257</v>
      </c>
      <c r="C187" s="0" t="s">
        <v>295</v>
      </c>
      <c r="D187" s="0" t="s">
        <v>393</v>
      </c>
      <c r="E187" s="0" t="s">
        <v>333</v>
      </c>
      <c r="F187" s="0" t="s">
        <v>143</v>
      </c>
      <c r="G187" s="0" t="s">
        <v>294</v>
      </c>
      <c r="H187" s="5" t="n">
        <v>8.3</v>
      </c>
      <c r="I187" s="6" t="s">
        <v>405</v>
      </c>
      <c r="J187" s="6" t="s">
        <v>406</v>
      </c>
    </row>
    <row r="188" customFormat="false" ht="15" hidden="false" customHeight="false" outlineLevel="0" collapsed="false">
      <c r="A188" s="0" t="s">
        <v>407</v>
      </c>
      <c r="B188" s="0" t="s">
        <v>257</v>
      </c>
      <c r="C188" s="0" t="s">
        <v>295</v>
      </c>
      <c r="D188" s="0" t="s">
        <v>393</v>
      </c>
      <c r="E188" s="0" t="s">
        <v>333</v>
      </c>
      <c r="F188" s="0" t="s">
        <v>143</v>
      </c>
      <c r="G188" s="0" t="s">
        <v>294</v>
      </c>
      <c r="H188" s="5" t="n">
        <v>4.1</v>
      </c>
      <c r="I188" s="6" t="s">
        <v>408</v>
      </c>
      <c r="J188" s="6" t="s">
        <v>409</v>
      </c>
    </row>
    <row r="189" customFormat="false" ht="15" hidden="false" customHeight="false" outlineLevel="0" collapsed="false">
      <c r="A189" s="0" t="s">
        <v>410</v>
      </c>
      <c r="B189" s="0" t="s">
        <v>257</v>
      </c>
      <c r="C189" s="0" t="s">
        <v>295</v>
      </c>
      <c r="D189" s="0" t="s">
        <v>393</v>
      </c>
      <c r="E189" s="0" t="s">
        <v>333</v>
      </c>
      <c r="F189" s="0" t="s">
        <v>143</v>
      </c>
      <c r="G189" s="0" t="s">
        <v>294</v>
      </c>
      <c r="H189" s="5"/>
      <c r="J189" s="6" t="s">
        <v>411</v>
      </c>
    </row>
    <row r="190" customFormat="false" ht="15" hidden="false" customHeight="false" outlineLevel="0" collapsed="false">
      <c r="A190" s="0" t="s">
        <v>412</v>
      </c>
      <c r="B190" s="0" t="s">
        <v>257</v>
      </c>
      <c r="C190" s="0" t="s">
        <v>295</v>
      </c>
      <c r="D190" s="0" t="s">
        <v>393</v>
      </c>
      <c r="E190" s="0" t="s">
        <v>333</v>
      </c>
      <c r="F190" s="0" t="s">
        <v>143</v>
      </c>
      <c r="G190" s="0" t="s">
        <v>294</v>
      </c>
      <c r="H190" s="5"/>
      <c r="J190" s="6" t="s">
        <v>46</v>
      </c>
    </row>
    <row r="191" customFormat="false" ht="15" hidden="false" customHeight="false" outlineLevel="0" collapsed="false">
      <c r="A191" s="0" t="s">
        <v>413</v>
      </c>
      <c r="B191" s="0" t="s">
        <v>257</v>
      </c>
      <c r="C191" s="0" t="s">
        <v>295</v>
      </c>
      <c r="D191" s="0" t="s">
        <v>393</v>
      </c>
      <c r="E191" s="0" t="s">
        <v>333</v>
      </c>
      <c r="F191" s="0" t="s">
        <v>143</v>
      </c>
      <c r="G191" s="0" t="s">
        <v>294</v>
      </c>
      <c r="H191" s="5"/>
    </row>
    <row r="192" customFormat="false" ht="15" hidden="false" customHeight="false" outlineLevel="0" collapsed="false">
      <c r="A192" s="0" t="s">
        <v>414</v>
      </c>
      <c r="B192" s="0" t="s">
        <v>257</v>
      </c>
      <c r="C192" s="0" t="s">
        <v>295</v>
      </c>
      <c r="D192" s="0" t="s">
        <v>393</v>
      </c>
      <c r="E192" s="0" t="s">
        <v>333</v>
      </c>
      <c r="F192" s="0" t="s">
        <v>143</v>
      </c>
      <c r="G192" s="0" t="s">
        <v>294</v>
      </c>
      <c r="H192" s="5"/>
      <c r="J192" s="6" t="s">
        <v>415</v>
      </c>
    </row>
    <row r="193" customFormat="false" ht="15" hidden="false" customHeight="false" outlineLevel="0" collapsed="false">
      <c r="A193" s="0" t="s">
        <v>416</v>
      </c>
      <c r="B193" s="0" t="s">
        <v>257</v>
      </c>
      <c r="C193" s="0" t="s">
        <v>295</v>
      </c>
      <c r="D193" s="0" t="s">
        <v>393</v>
      </c>
      <c r="E193" s="0" t="s">
        <v>397</v>
      </c>
      <c r="F193" s="0" t="s">
        <v>143</v>
      </c>
      <c r="G193" s="0" t="s">
        <v>294</v>
      </c>
      <c r="H193" s="5"/>
      <c r="J193" s="6" t="s">
        <v>417</v>
      </c>
    </row>
    <row r="194" customFormat="false" ht="15" hidden="false" customHeight="false" outlineLevel="0" collapsed="false">
      <c r="A194" s="0" t="s">
        <v>418</v>
      </c>
      <c r="B194" s="0" t="s">
        <v>257</v>
      </c>
      <c r="C194" s="0" t="s">
        <v>419</v>
      </c>
      <c r="D194" s="0" t="s">
        <v>420</v>
      </c>
      <c r="E194" s="0" t="s">
        <v>421</v>
      </c>
      <c r="F194" s="0" t="s">
        <v>261</v>
      </c>
      <c r="H194" s="5" t="n">
        <v>242838.2</v>
      </c>
      <c r="I194" s="6" t="s">
        <v>422</v>
      </c>
      <c r="J194" s="6" t="s">
        <v>423</v>
      </c>
    </row>
    <row r="195" customFormat="false" ht="15" hidden="false" customHeight="false" outlineLevel="0" collapsed="false">
      <c r="A195" s="0" t="s">
        <v>424</v>
      </c>
      <c r="B195" s="0" t="s">
        <v>257</v>
      </c>
      <c r="C195" s="0" t="s">
        <v>419</v>
      </c>
      <c r="D195" s="0" t="s">
        <v>420</v>
      </c>
      <c r="E195" s="0" t="s">
        <v>425</v>
      </c>
      <c r="F195" s="0" t="s">
        <v>164</v>
      </c>
      <c r="G195" s="0" t="s">
        <v>276</v>
      </c>
      <c r="H195" s="5" t="n">
        <v>6654.8</v>
      </c>
      <c r="I195" s="6" t="s">
        <v>319</v>
      </c>
      <c r="J195" s="6" t="s">
        <v>426</v>
      </c>
    </row>
    <row r="196" customFormat="false" ht="15" hidden="false" customHeight="false" outlineLevel="0" collapsed="false">
      <c r="A196" s="0" t="s">
        <v>427</v>
      </c>
      <c r="B196" s="0" t="s">
        <v>257</v>
      </c>
      <c r="C196" s="0" t="s">
        <v>419</v>
      </c>
      <c r="D196" s="0" t="s">
        <v>420</v>
      </c>
      <c r="E196" s="0" t="s">
        <v>275</v>
      </c>
      <c r="F196" s="0" t="s">
        <v>143</v>
      </c>
      <c r="G196" s="0" t="s">
        <v>276</v>
      </c>
      <c r="H196" s="5" t="n">
        <v>2162.9</v>
      </c>
      <c r="I196" s="6" t="s">
        <v>428</v>
      </c>
      <c r="J196" s="6" t="s">
        <v>429</v>
      </c>
    </row>
    <row r="197" customFormat="false" ht="15" hidden="false" customHeight="false" outlineLevel="0" collapsed="false">
      <c r="A197" s="0" t="s">
        <v>430</v>
      </c>
      <c r="B197" s="0" t="s">
        <v>257</v>
      </c>
      <c r="C197" s="0" t="s">
        <v>419</v>
      </c>
      <c r="D197" s="0" t="s">
        <v>420</v>
      </c>
      <c r="E197" s="0" t="s">
        <v>275</v>
      </c>
      <c r="F197" s="0" t="s">
        <v>143</v>
      </c>
      <c r="G197" s="0" t="s">
        <v>276</v>
      </c>
      <c r="H197" s="5" t="n">
        <v>500</v>
      </c>
      <c r="I197" s="6" t="s">
        <v>262</v>
      </c>
    </row>
    <row r="198" customFormat="false" ht="15" hidden="false" customHeight="false" outlineLevel="0" collapsed="false">
      <c r="A198" s="0" t="s">
        <v>431</v>
      </c>
      <c r="B198" s="0" t="s">
        <v>257</v>
      </c>
      <c r="C198" s="0" t="s">
        <v>419</v>
      </c>
      <c r="D198" s="0" t="s">
        <v>420</v>
      </c>
      <c r="E198" s="0" t="s">
        <v>275</v>
      </c>
      <c r="F198" s="0" t="s">
        <v>143</v>
      </c>
      <c r="G198" s="0" t="s">
        <v>276</v>
      </c>
      <c r="H198" s="5" t="n">
        <v>109.8</v>
      </c>
      <c r="I198" s="6" t="s">
        <v>432</v>
      </c>
      <c r="J198" s="6" t="s">
        <v>433</v>
      </c>
    </row>
    <row r="199" customFormat="false" ht="15" hidden="false" customHeight="false" outlineLevel="0" collapsed="false">
      <c r="A199" s="0" t="s">
        <v>434</v>
      </c>
      <c r="B199" s="0" t="s">
        <v>257</v>
      </c>
      <c r="C199" s="0" t="s">
        <v>419</v>
      </c>
      <c r="D199" s="0" t="s">
        <v>420</v>
      </c>
      <c r="E199" s="0" t="s">
        <v>275</v>
      </c>
      <c r="F199" s="0" t="s">
        <v>143</v>
      </c>
      <c r="G199" s="0" t="s">
        <v>276</v>
      </c>
      <c r="H199" s="5" t="n">
        <v>20</v>
      </c>
      <c r="I199" s="6" t="s">
        <v>435</v>
      </c>
      <c r="J199" s="6" t="s">
        <v>436</v>
      </c>
    </row>
    <row r="200" customFormat="false" ht="15" hidden="false" customHeight="false" outlineLevel="0" collapsed="false">
      <c r="A200" s="0" t="s">
        <v>437</v>
      </c>
      <c r="B200" s="0" t="s">
        <v>257</v>
      </c>
      <c r="C200" s="0" t="s">
        <v>419</v>
      </c>
      <c r="D200" s="0" t="s">
        <v>420</v>
      </c>
      <c r="E200" s="0" t="s">
        <v>275</v>
      </c>
      <c r="F200" s="0" t="s">
        <v>143</v>
      </c>
      <c r="G200" s="0" t="s">
        <v>276</v>
      </c>
      <c r="H200" s="5" t="n">
        <v>18.1</v>
      </c>
      <c r="I200" s="6" t="s">
        <v>438</v>
      </c>
      <c r="J200" s="6" t="s">
        <v>439</v>
      </c>
    </row>
    <row r="201" customFormat="false" ht="15" hidden="false" customHeight="false" outlineLevel="0" collapsed="false">
      <c r="A201" s="0" t="s">
        <v>440</v>
      </c>
      <c r="B201" s="0" t="s">
        <v>257</v>
      </c>
      <c r="C201" s="0" t="s">
        <v>419</v>
      </c>
      <c r="D201" s="0" t="s">
        <v>420</v>
      </c>
      <c r="E201" s="0" t="s">
        <v>275</v>
      </c>
      <c r="F201" s="0" t="s">
        <v>143</v>
      </c>
      <c r="G201" s="0" t="s">
        <v>276</v>
      </c>
      <c r="H201" s="5" t="n">
        <v>18.1</v>
      </c>
      <c r="I201" s="6" t="s">
        <v>441</v>
      </c>
      <c r="J201" s="6" t="s">
        <v>442</v>
      </c>
    </row>
    <row r="202" customFormat="false" ht="15" hidden="false" customHeight="false" outlineLevel="0" collapsed="false">
      <c r="A202" s="0" t="s">
        <v>443</v>
      </c>
      <c r="B202" s="0" t="s">
        <v>257</v>
      </c>
      <c r="C202" s="0" t="s">
        <v>419</v>
      </c>
      <c r="D202" s="0" t="s">
        <v>420</v>
      </c>
      <c r="E202" s="0" t="s">
        <v>275</v>
      </c>
      <c r="F202" s="0" t="s">
        <v>143</v>
      </c>
      <c r="G202" s="0" t="s">
        <v>276</v>
      </c>
      <c r="H202" s="5" t="n">
        <v>17.7</v>
      </c>
      <c r="I202" s="6" t="s">
        <v>444</v>
      </c>
      <c r="J202" s="6" t="s">
        <v>445</v>
      </c>
    </row>
    <row r="203" customFormat="false" ht="15" hidden="false" customHeight="false" outlineLevel="0" collapsed="false">
      <c r="A203" s="0" t="s">
        <v>446</v>
      </c>
      <c r="B203" s="0" t="s">
        <v>257</v>
      </c>
      <c r="C203" s="0" t="s">
        <v>419</v>
      </c>
      <c r="D203" s="0" t="s">
        <v>420</v>
      </c>
      <c r="E203" s="0" t="s">
        <v>275</v>
      </c>
      <c r="F203" s="0" t="s">
        <v>143</v>
      </c>
      <c r="G203" s="0" t="s">
        <v>276</v>
      </c>
      <c r="H203" s="5" t="n">
        <v>14.2</v>
      </c>
      <c r="I203" s="6" t="s">
        <v>447</v>
      </c>
      <c r="J203" s="6" t="s">
        <v>448</v>
      </c>
    </row>
    <row r="204" customFormat="false" ht="15" hidden="false" customHeight="false" outlineLevel="0" collapsed="false">
      <c r="A204" s="0" t="s">
        <v>449</v>
      </c>
      <c r="B204" s="0" t="s">
        <v>257</v>
      </c>
      <c r="C204" s="0" t="s">
        <v>419</v>
      </c>
      <c r="D204" s="0" t="s">
        <v>420</v>
      </c>
      <c r="E204" s="0" t="s">
        <v>275</v>
      </c>
      <c r="F204" s="0" t="s">
        <v>143</v>
      </c>
      <c r="G204" s="0" t="s">
        <v>276</v>
      </c>
      <c r="H204" s="5" t="n">
        <v>13.2</v>
      </c>
      <c r="I204" s="6" t="s">
        <v>450</v>
      </c>
      <c r="J204" s="6" t="s">
        <v>451</v>
      </c>
    </row>
    <row r="205" customFormat="false" ht="15" hidden="false" customHeight="false" outlineLevel="0" collapsed="false">
      <c r="A205" s="0" t="s">
        <v>452</v>
      </c>
      <c r="B205" s="0" t="s">
        <v>257</v>
      </c>
      <c r="C205" s="0" t="s">
        <v>419</v>
      </c>
      <c r="D205" s="0" t="s">
        <v>420</v>
      </c>
      <c r="E205" s="0" t="s">
        <v>275</v>
      </c>
      <c r="F205" s="0" t="s">
        <v>143</v>
      </c>
      <c r="G205" s="0" t="s">
        <v>276</v>
      </c>
      <c r="H205" s="5" t="n">
        <v>9.8</v>
      </c>
      <c r="I205" s="6" t="s">
        <v>453</v>
      </c>
      <c r="J205" s="6" t="s">
        <v>454</v>
      </c>
    </row>
    <row r="206" customFormat="false" ht="15" hidden="false" customHeight="false" outlineLevel="0" collapsed="false">
      <c r="A206" s="0" t="s">
        <v>455</v>
      </c>
      <c r="B206" s="0" t="s">
        <v>257</v>
      </c>
      <c r="C206" s="0" t="s">
        <v>419</v>
      </c>
      <c r="D206" s="0" t="s">
        <v>420</v>
      </c>
      <c r="E206" s="0" t="s">
        <v>275</v>
      </c>
      <c r="F206" s="0" t="s">
        <v>143</v>
      </c>
      <c r="G206" s="0" t="s">
        <v>276</v>
      </c>
      <c r="H206" s="5" t="n">
        <v>7.4</v>
      </c>
      <c r="I206" s="6" t="s">
        <v>456</v>
      </c>
      <c r="J206" s="6" t="s">
        <v>457</v>
      </c>
    </row>
    <row r="207" customFormat="false" ht="15" hidden="false" customHeight="false" outlineLevel="0" collapsed="false">
      <c r="A207" s="0" t="s">
        <v>458</v>
      </c>
      <c r="B207" s="0" t="s">
        <v>257</v>
      </c>
      <c r="C207" s="0" t="s">
        <v>419</v>
      </c>
      <c r="D207" s="0" t="s">
        <v>420</v>
      </c>
      <c r="E207" s="0" t="s">
        <v>275</v>
      </c>
      <c r="F207" s="0" t="s">
        <v>143</v>
      </c>
      <c r="G207" s="0" t="s">
        <v>276</v>
      </c>
      <c r="H207" s="5" t="n">
        <v>7.3</v>
      </c>
      <c r="I207" s="6" t="s">
        <v>459</v>
      </c>
      <c r="J207" s="6" t="s">
        <v>460</v>
      </c>
    </row>
    <row r="208" customFormat="false" ht="15" hidden="false" customHeight="false" outlineLevel="0" collapsed="false">
      <c r="A208" s="0" t="s">
        <v>461</v>
      </c>
      <c r="B208" s="0" t="s">
        <v>257</v>
      </c>
      <c r="C208" s="0" t="s">
        <v>419</v>
      </c>
      <c r="D208" s="0" t="s">
        <v>420</v>
      </c>
      <c r="E208" s="0" t="s">
        <v>275</v>
      </c>
      <c r="F208" s="0" t="s">
        <v>143</v>
      </c>
      <c r="G208" s="0" t="s">
        <v>276</v>
      </c>
      <c r="H208" s="5" t="n">
        <v>2.9</v>
      </c>
      <c r="I208" s="6" t="s">
        <v>462</v>
      </c>
      <c r="J208" s="6" t="s">
        <v>463</v>
      </c>
    </row>
    <row r="209" customFormat="false" ht="15" hidden="false" customHeight="false" outlineLevel="0" collapsed="false">
      <c r="A209" s="0" t="s">
        <v>464</v>
      </c>
      <c r="B209" s="0" t="s">
        <v>257</v>
      </c>
      <c r="C209" s="0" t="s">
        <v>419</v>
      </c>
      <c r="D209" s="0" t="s">
        <v>420</v>
      </c>
      <c r="E209" s="0" t="s">
        <v>275</v>
      </c>
      <c r="F209" s="0" t="s">
        <v>143</v>
      </c>
      <c r="G209" s="0" t="s">
        <v>276</v>
      </c>
      <c r="H209" s="5" t="n">
        <v>0.8</v>
      </c>
      <c r="I209" s="6" t="s">
        <v>465</v>
      </c>
      <c r="J209" s="6" t="s">
        <v>466</v>
      </c>
    </row>
    <row r="210" customFormat="false" ht="15" hidden="false" customHeight="false" outlineLevel="0" collapsed="false">
      <c r="A210" s="0" t="s">
        <v>467</v>
      </c>
      <c r="B210" s="0" t="s">
        <v>257</v>
      </c>
      <c r="C210" s="0" t="s">
        <v>419</v>
      </c>
      <c r="D210" s="0" t="s">
        <v>468</v>
      </c>
      <c r="E210" s="0" t="s">
        <v>469</v>
      </c>
      <c r="F210" s="0" t="s">
        <v>164</v>
      </c>
      <c r="G210" s="0" t="s">
        <v>276</v>
      </c>
      <c r="H210" s="5" t="n">
        <v>6293.1</v>
      </c>
      <c r="I210" s="6" t="s">
        <v>470</v>
      </c>
      <c r="J210" s="6" t="s">
        <v>471</v>
      </c>
    </row>
    <row r="211" customFormat="false" ht="15" hidden="false" customHeight="false" outlineLevel="0" collapsed="false">
      <c r="A211" s="0" t="s">
        <v>472</v>
      </c>
      <c r="B211" s="0" t="s">
        <v>257</v>
      </c>
      <c r="C211" s="0" t="s">
        <v>419</v>
      </c>
      <c r="D211" s="0" t="s">
        <v>468</v>
      </c>
      <c r="E211" s="0" t="s">
        <v>469</v>
      </c>
      <c r="F211" s="0" t="s">
        <v>164</v>
      </c>
      <c r="G211" s="0" t="s">
        <v>276</v>
      </c>
      <c r="H211" s="5" t="n">
        <v>5820.2</v>
      </c>
      <c r="I211" s="6" t="s">
        <v>473</v>
      </c>
      <c r="J211" s="6" t="s">
        <v>474</v>
      </c>
    </row>
    <row r="212" customFormat="false" ht="15" hidden="false" customHeight="false" outlineLevel="0" collapsed="false">
      <c r="A212" s="0" t="s">
        <v>475</v>
      </c>
      <c r="B212" s="0" t="s">
        <v>257</v>
      </c>
      <c r="C212" s="0" t="s">
        <v>419</v>
      </c>
      <c r="D212" s="0" t="s">
        <v>468</v>
      </c>
      <c r="E212" s="0" t="s">
        <v>469</v>
      </c>
      <c r="F212" s="0" t="s">
        <v>143</v>
      </c>
      <c r="G212" s="0" t="s">
        <v>276</v>
      </c>
      <c r="H212" s="5" t="n">
        <v>3249.5</v>
      </c>
      <c r="I212" s="6" t="s">
        <v>476</v>
      </c>
      <c r="J212" s="6" t="s">
        <v>477</v>
      </c>
    </row>
    <row r="213" customFormat="false" ht="15" hidden="false" customHeight="false" outlineLevel="0" collapsed="false">
      <c r="A213" s="0" t="s">
        <v>478</v>
      </c>
      <c r="B213" s="0" t="s">
        <v>257</v>
      </c>
      <c r="C213" s="0" t="s">
        <v>419</v>
      </c>
      <c r="D213" s="0" t="s">
        <v>468</v>
      </c>
      <c r="E213" s="0" t="s">
        <v>469</v>
      </c>
      <c r="F213" s="0" t="s">
        <v>164</v>
      </c>
      <c r="G213" s="0" t="s">
        <v>276</v>
      </c>
      <c r="H213" s="5" t="n">
        <v>1619.5</v>
      </c>
      <c r="I213" s="6" t="s">
        <v>479</v>
      </c>
      <c r="J213" s="6" t="s">
        <v>477</v>
      </c>
    </row>
    <row r="214" customFormat="false" ht="15" hidden="false" customHeight="false" outlineLevel="0" collapsed="false">
      <c r="A214" s="0" t="s">
        <v>480</v>
      </c>
      <c r="B214" s="0" t="s">
        <v>257</v>
      </c>
      <c r="C214" s="0" t="s">
        <v>419</v>
      </c>
      <c r="D214" s="0" t="s">
        <v>468</v>
      </c>
      <c r="E214" s="0" t="s">
        <v>469</v>
      </c>
      <c r="F214" s="0" t="s">
        <v>164</v>
      </c>
      <c r="G214" s="0" t="s">
        <v>276</v>
      </c>
      <c r="H214" s="5" t="n">
        <v>1117.9</v>
      </c>
      <c r="I214" s="6" t="s">
        <v>481</v>
      </c>
      <c r="J214" s="6" t="s">
        <v>477</v>
      </c>
    </row>
    <row r="215" customFormat="false" ht="15" hidden="false" customHeight="false" outlineLevel="0" collapsed="false">
      <c r="A215" s="0" t="s">
        <v>482</v>
      </c>
      <c r="B215" s="0" t="s">
        <v>257</v>
      </c>
      <c r="C215" s="0" t="s">
        <v>419</v>
      </c>
      <c r="D215" s="0" t="s">
        <v>468</v>
      </c>
      <c r="E215" s="0" t="s">
        <v>469</v>
      </c>
      <c r="F215" s="0" t="s">
        <v>143</v>
      </c>
      <c r="G215" s="0" t="s">
        <v>276</v>
      </c>
      <c r="H215" s="5" t="n">
        <v>1084.1</v>
      </c>
      <c r="I215" s="6" t="s">
        <v>483</v>
      </c>
      <c r="J215" s="6" t="s">
        <v>477</v>
      </c>
    </row>
    <row r="216" customFormat="false" ht="15" hidden="false" customHeight="false" outlineLevel="0" collapsed="false">
      <c r="A216" s="0" t="s">
        <v>484</v>
      </c>
      <c r="B216" s="0" t="s">
        <v>257</v>
      </c>
      <c r="C216" s="0" t="s">
        <v>419</v>
      </c>
      <c r="D216" s="0" t="s">
        <v>468</v>
      </c>
      <c r="E216" s="0" t="s">
        <v>469</v>
      </c>
      <c r="F216" s="0" t="s">
        <v>143</v>
      </c>
      <c r="G216" s="0" t="s">
        <v>276</v>
      </c>
      <c r="H216" s="5" t="n">
        <v>819.7</v>
      </c>
      <c r="I216" s="6" t="s">
        <v>485</v>
      </c>
      <c r="J216" s="6" t="s">
        <v>477</v>
      </c>
    </row>
    <row r="217" customFormat="false" ht="15" hidden="false" customHeight="false" outlineLevel="0" collapsed="false">
      <c r="A217" s="0" t="s">
        <v>486</v>
      </c>
      <c r="B217" s="0" t="s">
        <v>257</v>
      </c>
      <c r="C217" s="0" t="s">
        <v>419</v>
      </c>
      <c r="D217" s="0" t="s">
        <v>468</v>
      </c>
      <c r="E217" s="0" t="s">
        <v>469</v>
      </c>
      <c r="F217" s="0" t="s">
        <v>164</v>
      </c>
      <c r="G217" s="0" t="s">
        <v>276</v>
      </c>
      <c r="H217" s="5" t="n">
        <v>548.6</v>
      </c>
      <c r="I217" s="6" t="s">
        <v>487</v>
      </c>
      <c r="J217" s="6" t="s">
        <v>477</v>
      </c>
    </row>
    <row r="218" customFormat="false" ht="15" hidden="false" customHeight="false" outlineLevel="0" collapsed="false">
      <c r="A218" s="0" t="s">
        <v>488</v>
      </c>
      <c r="B218" s="0" t="s">
        <v>257</v>
      </c>
      <c r="C218" s="0" t="s">
        <v>419</v>
      </c>
      <c r="D218" s="0" t="s">
        <v>468</v>
      </c>
      <c r="E218" s="0" t="s">
        <v>469</v>
      </c>
      <c r="F218" s="0" t="s">
        <v>164</v>
      </c>
      <c r="G218" s="0" t="s">
        <v>276</v>
      </c>
      <c r="H218" s="5"/>
      <c r="J218" s="6" t="s">
        <v>489</v>
      </c>
    </row>
    <row r="219" customFormat="false" ht="15" hidden="false" customHeight="false" outlineLevel="0" collapsed="false">
      <c r="A219" s="0" t="s">
        <v>490</v>
      </c>
      <c r="B219" s="0" t="s">
        <v>257</v>
      </c>
      <c r="C219" s="0" t="s">
        <v>419</v>
      </c>
      <c r="D219" s="0" t="s">
        <v>468</v>
      </c>
      <c r="E219" s="0" t="s">
        <v>469</v>
      </c>
      <c r="F219" s="0" t="s">
        <v>164</v>
      </c>
      <c r="G219" s="0" t="s">
        <v>276</v>
      </c>
      <c r="H219" s="5"/>
      <c r="I219" s="6" t="s">
        <v>470</v>
      </c>
      <c r="J219" s="6" t="s">
        <v>491</v>
      </c>
    </row>
    <row r="220" customFormat="false" ht="15" hidden="false" customHeight="false" outlineLevel="0" collapsed="false">
      <c r="A220" s="0" t="s">
        <v>492</v>
      </c>
      <c r="B220" s="0" t="s">
        <v>257</v>
      </c>
      <c r="C220" s="0" t="s">
        <v>419</v>
      </c>
      <c r="D220" s="0" t="s">
        <v>493</v>
      </c>
      <c r="E220" s="0" t="s">
        <v>494</v>
      </c>
      <c r="F220" s="0" t="s">
        <v>164</v>
      </c>
      <c r="G220" s="0" t="s">
        <v>276</v>
      </c>
      <c r="H220" s="5" t="n">
        <v>11422.9</v>
      </c>
      <c r="I220" s="6" t="s">
        <v>495</v>
      </c>
      <c r="J220" s="6" t="s">
        <v>496</v>
      </c>
    </row>
    <row r="221" customFormat="false" ht="15" hidden="false" customHeight="false" outlineLevel="0" collapsed="false">
      <c r="A221" s="0" t="s">
        <v>497</v>
      </c>
      <c r="B221" s="0" t="s">
        <v>257</v>
      </c>
      <c r="C221" s="0" t="s">
        <v>419</v>
      </c>
      <c r="D221" s="0" t="s">
        <v>493</v>
      </c>
      <c r="E221" s="0" t="s">
        <v>494</v>
      </c>
      <c r="F221" s="0" t="s">
        <v>164</v>
      </c>
      <c r="G221" s="0" t="s">
        <v>276</v>
      </c>
      <c r="H221" s="5" t="n">
        <v>330.5</v>
      </c>
      <c r="I221" s="6" t="s">
        <v>319</v>
      </c>
      <c r="J221" s="6" t="s">
        <v>498</v>
      </c>
    </row>
    <row r="222" customFormat="false" ht="15" hidden="false" customHeight="false" outlineLevel="0" collapsed="false">
      <c r="A222" s="0" t="s">
        <v>499</v>
      </c>
      <c r="B222" s="0" t="s">
        <v>257</v>
      </c>
      <c r="C222" s="0" t="s">
        <v>419</v>
      </c>
      <c r="D222" s="0" t="s">
        <v>493</v>
      </c>
      <c r="E222" s="0" t="s">
        <v>494</v>
      </c>
      <c r="F222" s="0" t="s">
        <v>164</v>
      </c>
      <c r="G222" s="0" t="s">
        <v>276</v>
      </c>
      <c r="H222" s="5" t="n">
        <v>212.8</v>
      </c>
      <c r="I222" s="6" t="s">
        <v>500</v>
      </c>
      <c r="J222" s="6" t="s">
        <v>496</v>
      </c>
    </row>
    <row r="223" customFormat="false" ht="15" hidden="false" customHeight="false" outlineLevel="0" collapsed="false">
      <c r="A223" s="0" t="s">
        <v>501</v>
      </c>
      <c r="B223" s="0" t="s">
        <v>257</v>
      </c>
      <c r="C223" s="0" t="s">
        <v>419</v>
      </c>
      <c r="D223" s="0" t="s">
        <v>493</v>
      </c>
      <c r="E223" s="0" t="s">
        <v>494</v>
      </c>
      <c r="F223" s="0" t="s">
        <v>164</v>
      </c>
      <c r="G223" s="0" t="s">
        <v>276</v>
      </c>
      <c r="H223" s="5" t="n">
        <v>2.3</v>
      </c>
      <c r="I223" s="6" t="s">
        <v>502</v>
      </c>
      <c r="J223" s="6" t="s">
        <v>496</v>
      </c>
    </row>
    <row r="224" customFormat="false" ht="15" hidden="false" customHeight="false" outlineLevel="0" collapsed="false">
      <c r="A224" s="0" t="s">
        <v>503</v>
      </c>
      <c r="B224" s="0" t="s">
        <v>257</v>
      </c>
      <c r="C224" s="0" t="s">
        <v>419</v>
      </c>
      <c r="D224" s="0" t="s">
        <v>493</v>
      </c>
      <c r="E224" s="0" t="s">
        <v>494</v>
      </c>
      <c r="F224" s="0" t="s">
        <v>164</v>
      </c>
      <c r="G224" s="0" t="s">
        <v>276</v>
      </c>
      <c r="H224" s="5"/>
      <c r="J224" s="6" t="s">
        <v>504</v>
      </c>
    </row>
    <row r="225" customFormat="false" ht="15" hidden="false" customHeight="false" outlineLevel="0" collapsed="false">
      <c r="A225" s="0" t="s">
        <v>505</v>
      </c>
      <c r="B225" s="0" t="s">
        <v>257</v>
      </c>
      <c r="C225" s="0" t="s">
        <v>419</v>
      </c>
      <c r="D225" s="0" t="s">
        <v>506</v>
      </c>
      <c r="E225" s="0" t="s">
        <v>494</v>
      </c>
      <c r="F225" s="0" t="s">
        <v>164</v>
      </c>
      <c r="G225" s="0" t="s">
        <v>276</v>
      </c>
      <c r="H225" s="5" t="n">
        <v>2172.6</v>
      </c>
      <c r="I225" s="6" t="s">
        <v>507</v>
      </c>
      <c r="J225" s="6" t="s">
        <v>508</v>
      </c>
    </row>
    <row r="226" customFormat="false" ht="15" hidden="false" customHeight="false" outlineLevel="0" collapsed="false">
      <c r="A226" s="0" t="s">
        <v>509</v>
      </c>
      <c r="B226" s="0" t="s">
        <v>257</v>
      </c>
      <c r="C226" s="0" t="s">
        <v>419</v>
      </c>
      <c r="D226" s="0" t="s">
        <v>506</v>
      </c>
      <c r="E226" s="0" t="s">
        <v>494</v>
      </c>
      <c r="F226" s="0" t="s">
        <v>164</v>
      </c>
      <c r="G226" s="0" t="s">
        <v>276</v>
      </c>
      <c r="H226" s="5" t="n">
        <v>1172.6</v>
      </c>
      <c r="I226" s="6" t="s">
        <v>510</v>
      </c>
      <c r="J226" s="6" t="s">
        <v>511</v>
      </c>
    </row>
    <row r="227" customFormat="false" ht="15" hidden="false" customHeight="false" outlineLevel="0" collapsed="false">
      <c r="A227" s="0" t="s">
        <v>512</v>
      </c>
      <c r="B227" s="0" t="s">
        <v>257</v>
      </c>
      <c r="C227" s="0" t="s">
        <v>419</v>
      </c>
      <c r="D227" s="0" t="s">
        <v>506</v>
      </c>
      <c r="E227" s="0" t="s">
        <v>494</v>
      </c>
      <c r="F227" s="0" t="s">
        <v>164</v>
      </c>
      <c r="G227" s="0" t="s">
        <v>276</v>
      </c>
      <c r="H227" s="5" t="n">
        <v>734.3</v>
      </c>
      <c r="I227" s="6" t="s">
        <v>510</v>
      </c>
      <c r="J227" s="6" t="s">
        <v>513</v>
      </c>
    </row>
    <row r="228" customFormat="false" ht="15" hidden="false" customHeight="false" outlineLevel="0" collapsed="false">
      <c r="A228" s="0" t="s">
        <v>514</v>
      </c>
      <c r="B228" s="0" t="s">
        <v>257</v>
      </c>
      <c r="C228" s="0" t="s">
        <v>419</v>
      </c>
      <c r="D228" s="0" t="s">
        <v>506</v>
      </c>
      <c r="E228" s="0" t="s">
        <v>494</v>
      </c>
      <c r="F228" s="0" t="s">
        <v>164</v>
      </c>
      <c r="G228" s="0" t="s">
        <v>276</v>
      </c>
      <c r="H228" s="5" t="n">
        <v>152.5</v>
      </c>
      <c r="I228" s="6" t="s">
        <v>510</v>
      </c>
      <c r="J228" s="6" t="s">
        <v>508</v>
      </c>
    </row>
    <row r="229" customFormat="false" ht="15" hidden="false" customHeight="false" outlineLevel="0" collapsed="false">
      <c r="A229" s="0" t="s">
        <v>515</v>
      </c>
      <c r="B229" s="0" t="s">
        <v>257</v>
      </c>
      <c r="C229" s="0" t="s">
        <v>419</v>
      </c>
      <c r="D229" s="0" t="s">
        <v>506</v>
      </c>
      <c r="E229" s="0" t="s">
        <v>494</v>
      </c>
      <c r="F229" s="0" t="s">
        <v>164</v>
      </c>
      <c r="G229" s="0" t="s">
        <v>276</v>
      </c>
      <c r="H229" s="5" t="n">
        <v>4.4</v>
      </c>
      <c r="I229" s="6" t="s">
        <v>487</v>
      </c>
      <c r="J229" s="6" t="s">
        <v>516</v>
      </c>
    </row>
    <row r="230" customFormat="false" ht="15" hidden="false" customHeight="false" outlineLevel="0" collapsed="false">
      <c r="A230" s="0" t="s">
        <v>517</v>
      </c>
      <c r="B230" s="0" t="s">
        <v>257</v>
      </c>
      <c r="C230" s="0" t="s">
        <v>419</v>
      </c>
      <c r="D230" s="0" t="s">
        <v>506</v>
      </c>
      <c r="E230" s="0" t="s">
        <v>494</v>
      </c>
      <c r="F230" s="0" t="s">
        <v>164</v>
      </c>
      <c r="G230" s="0" t="s">
        <v>276</v>
      </c>
      <c r="H230" s="5"/>
      <c r="J230" s="6" t="s">
        <v>518</v>
      </c>
    </row>
    <row r="231" customFormat="false" ht="15" hidden="false" customHeight="false" outlineLevel="0" collapsed="false">
      <c r="A231" s="0" t="s">
        <v>519</v>
      </c>
      <c r="B231" s="0" t="s">
        <v>257</v>
      </c>
      <c r="C231" s="0" t="s">
        <v>419</v>
      </c>
      <c r="D231" s="0" t="s">
        <v>506</v>
      </c>
      <c r="E231" s="0" t="s">
        <v>494</v>
      </c>
      <c r="F231" s="0" t="s">
        <v>164</v>
      </c>
      <c r="G231" s="0" t="s">
        <v>276</v>
      </c>
      <c r="H231" s="5"/>
      <c r="J231" s="6" t="s">
        <v>520</v>
      </c>
    </row>
    <row r="232" customFormat="false" ht="15" hidden="false" customHeight="false" outlineLevel="0" collapsed="false">
      <c r="A232" s="0" t="s">
        <v>521</v>
      </c>
      <c r="B232" s="0" t="s">
        <v>257</v>
      </c>
      <c r="C232" s="0" t="s">
        <v>419</v>
      </c>
      <c r="D232" s="0" t="s">
        <v>522</v>
      </c>
      <c r="E232" s="0" t="s">
        <v>275</v>
      </c>
      <c r="F232" s="0" t="s">
        <v>143</v>
      </c>
      <c r="G232" s="0" t="s">
        <v>276</v>
      </c>
      <c r="H232" s="5" t="n">
        <v>967</v>
      </c>
      <c r="I232" s="6" t="s">
        <v>523</v>
      </c>
      <c r="J232" s="6" t="s">
        <v>524</v>
      </c>
    </row>
    <row r="233" customFormat="false" ht="15" hidden="false" customHeight="false" outlineLevel="0" collapsed="false">
      <c r="A233" s="0" t="s">
        <v>525</v>
      </c>
      <c r="B233" s="0" t="s">
        <v>257</v>
      </c>
      <c r="C233" s="0" t="s">
        <v>419</v>
      </c>
      <c r="D233" s="0" t="s">
        <v>522</v>
      </c>
      <c r="E233" s="0" t="s">
        <v>275</v>
      </c>
      <c r="F233" s="0" t="s">
        <v>143</v>
      </c>
      <c r="G233" s="0" t="s">
        <v>276</v>
      </c>
      <c r="H233" s="5" t="n">
        <v>70</v>
      </c>
      <c r="I233" s="6" t="s">
        <v>523</v>
      </c>
      <c r="J233" s="6" t="s">
        <v>526</v>
      </c>
    </row>
    <row r="234" customFormat="false" ht="15" hidden="false" customHeight="false" outlineLevel="0" collapsed="false">
      <c r="A234" s="0" t="s">
        <v>527</v>
      </c>
      <c r="B234" s="0" t="s">
        <v>257</v>
      </c>
      <c r="C234" s="0" t="s">
        <v>419</v>
      </c>
      <c r="D234" s="0" t="s">
        <v>522</v>
      </c>
      <c r="E234" s="0" t="s">
        <v>528</v>
      </c>
      <c r="F234" s="0" t="s">
        <v>143</v>
      </c>
      <c r="G234" s="0" t="s">
        <v>276</v>
      </c>
      <c r="H234" s="5" t="n">
        <v>28</v>
      </c>
      <c r="I234" s="6" t="s">
        <v>529</v>
      </c>
      <c r="J234" s="6" t="s">
        <v>530</v>
      </c>
    </row>
    <row r="235" customFormat="false" ht="15" hidden="false" customHeight="false" outlineLevel="0" collapsed="false">
      <c r="A235" s="0" t="s">
        <v>531</v>
      </c>
      <c r="B235" s="0" t="s">
        <v>257</v>
      </c>
      <c r="C235" s="0" t="s">
        <v>419</v>
      </c>
      <c r="D235" s="0" t="s">
        <v>522</v>
      </c>
      <c r="E235" s="0" t="s">
        <v>394</v>
      </c>
      <c r="F235" s="0" t="s">
        <v>143</v>
      </c>
      <c r="G235" s="0" t="s">
        <v>276</v>
      </c>
      <c r="H235" s="5" t="n">
        <v>26</v>
      </c>
      <c r="I235" s="6" t="s">
        <v>343</v>
      </c>
      <c r="J235" s="6" t="s">
        <v>532</v>
      </c>
    </row>
    <row r="236" customFormat="false" ht="15" hidden="false" customHeight="false" outlineLevel="0" collapsed="false">
      <c r="A236" s="0" t="s">
        <v>533</v>
      </c>
      <c r="B236" s="0" t="s">
        <v>257</v>
      </c>
      <c r="C236" s="0" t="s">
        <v>419</v>
      </c>
      <c r="D236" s="0" t="s">
        <v>522</v>
      </c>
      <c r="E236" s="0" t="s">
        <v>275</v>
      </c>
      <c r="F236" s="0" t="s">
        <v>143</v>
      </c>
      <c r="G236" s="0" t="s">
        <v>276</v>
      </c>
      <c r="H236" s="5" t="n">
        <v>16.7</v>
      </c>
      <c r="I236" s="6" t="s">
        <v>343</v>
      </c>
      <c r="J236" s="6" t="s">
        <v>534</v>
      </c>
    </row>
    <row r="237" customFormat="false" ht="15" hidden="false" customHeight="false" outlineLevel="0" collapsed="false">
      <c r="A237" s="0" t="s">
        <v>535</v>
      </c>
      <c r="B237" s="0" t="s">
        <v>257</v>
      </c>
      <c r="C237" s="0" t="s">
        <v>419</v>
      </c>
      <c r="D237" s="0" t="s">
        <v>522</v>
      </c>
      <c r="E237" s="0" t="s">
        <v>528</v>
      </c>
      <c r="F237" s="0" t="s">
        <v>143</v>
      </c>
      <c r="G237" s="0" t="s">
        <v>276</v>
      </c>
      <c r="H237" s="5" t="n">
        <v>2485.7</v>
      </c>
      <c r="I237" s="6" t="s">
        <v>536</v>
      </c>
      <c r="J237" s="6" t="s">
        <v>537</v>
      </c>
    </row>
    <row r="238" customFormat="false" ht="15" hidden="false" customHeight="false" outlineLevel="0" collapsed="false">
      <c r="A238" s="0" t="s">
        <v>538</v>
      </c>
      <c r="B238" s="0" t="s">
        <v>257</v>
      </c>
      <c r="C238" s="0" t="s">
        <v>419</v>
      </c>
      <c r="D238" s="0" t="s">
        <v>539</v>
      </c>
      <c r="E238" s="0" t="s">
        <v>397</v>
      </c>
      <c r="F238" s="0" t="s">
        <v>143</v>
      </c>
      <c r="G238" s="0" t="s">
        <v>276</v>
      </c>
      <c r="H238" s="5" t="n">
        <v>2277.5</v>
      </c>
      <c r="I238" s="6" t="s">
        <v>470</v>
      </c>
      <c r="J238" s="6" t="s">
        <v>540</v>
      </c>
    </row>
    <row r="239" customFormat="false" ht="15" hidden="false" customHeight="false" outlineLevel="0" collapsed="false">
      <c r="A239" s="0" t="s">
        <v>541</v>
      </c>
      <c r="B239" s="0" t="s">
        <v>257</v>
      </c>
      <c r="C239" s="0" t="s">
        <v>419</v>
      </c>
      <c r="D239" s="0" t="s">
        <v>539</v>
      </c>
      <c r="E239" s="0" t="s">
        <v>542</v>
      </c>
      <c r="F239" s="0" t="s">
        <v>143</v>
      </c>
      <c r="G239" s="0" t="s">
        <v>276</v>
      </c>
      <c r="H239" s="5" t="n">
        <v>1447</v>
      </c>
      <c r="I239" s="6" t="s">
        <v>543</v>
      </c>
      <c r="J239" s="6" t="s">
        <v>544</v>
      </c>
    </row>
    <row r="240" customFormat="false" ht="15" hidden="false" customHeight="false" outlineLevel="0" collapsed="false">
      <c r="A240" s="0" t="s">
        <v>545</v>
      </c>
      <c r="B240" s="0" t="s">
        <v>257</v>
      </c>
      <c r="C240" s="0" t="s">
        <v>419</v>
      </c>
      <c r="D240" s="0" t="s">
        <v>539</v>
      </c>
      <c r="E240" s="0" t="s">
        <v>542</v>
      </c>
      <c r="F240" s="0" t="s">
        <v>143</v>
      </c>
      <c r="G240" s="0" t="s">
        <v>276</v>
      </c>
      <c r="H240" s="5" t="n">
        <v>1191.5</v>
      </c>
      <c r="I240" s="6" t="s">
        <v>546</v>
      </c>
      <c r="J240" s="6" t="s">
        <v>547</v>
      </c>
    </row>
    <row r="241" customFormat="false" ht="15" hidden="false" customHeight="false" outlineLevel="0" collapsed="false">
      <c r="A241" s="0" t="s">
        <v>548</v>
      </c>
      <c r="B241" s="0" t="s">
        <v>257</v>
      </c>
      <c r="C241" s="0" t="s">
        <v>419</v>
      </c>
      <c r="D241" s="0" t="s">
        <v>539</v>
      </c>
      <c r="E241" s="0" t="s">
        <v>542</v>
      </c>
      <c r="F241" s="0" t="s">
        <v>143</v>
      </c>
      <c r="G241" s="0" t="s">
        <v>276</v>
      </c>
      <c r="H241" s="5" t="n">
        <v>776</v>
      </c>
      <c r="I241" s="6" t="s">
        <v>479</v>
      </c>
      <c r="J241" s="6" t="s">
        <v>549</v>
      </c>
    </row>
    <row r="242" customFormat="false" ht="15" hidden="false" customHeight="false" outlineLevel="0" collapsed="false">
      <c r="A242" s="0" t="s">
        <v>550</v>
      </c>
      <c r="B242" s="0" t="s">
        <v>257</v>
      </c>
      <c r="C242" s="0" t="s">
        <v>419</v>
      </c>
      <c r="D242" s="0" t="s">
        <v>539</v>
      </c>
      <c r="E242" s="0" t="s">
        <v>397</v>
      </c>
      <c r="F242" s="0" t="s">
        <v>143</v>
      </c>
      <c r="G242" s="0" t="s">
        <v>276</v>
      </c>
      <c r="H242" s="5" t="n">
        <v>91.6</v>
      </c>
      <c r="I242" s="6" t="s">
        <v>230</v>
      </c>
      <c r="J242" s="6" t="s">
        <v>551</v>
      </c>
    </row>
    <row r="243" customFormat="false" ht="15" hidden="false" customHeight="false" outlineLevel="0" collapsed="false">
      <c r="A243" s="0" t="s">
        <v>552</v>
      </c>
      <c r="B243" s="0" t="s">
        <v>257</v>
      </c>
      <c r="C243" s="0" t="s">
        <v>419</v>
      </c>
      <c r="D243" s="0" t="s">
        <v>539</v>
      </c>
      <c r="E243" s="0" t="s">
        <v>397</v>
      </c>
      <c r="F243" s="0" t="s">
        <v>143</v>
      </c>
      <c r="G243" s="0" t="s">
        <v>276</v>
      </c>
      <c r="H243" s="5" t="n">
        <v>62</v>
      </c>
      <c r="I243" s="6" t="s">
        <v>553</v>
      </c>
      <c r="J243" s="6" t="s">
        <v>554</v>
      </c>
    </row>
    <row r="244" customFormat="false" ht="15" hidden="false" customHeight="false" outlineLevel="0" collapsed="false">
      <c r="A244" s="0" t="s">
        <v>555</v>
      </c>
      <c r="B244" s="0" t="s">
        <v>257</v>
      </c>
      <c r="C244" s="0" t="s">
        <v>419</v>
      </c>
      <c r="D244" s="0" t="s">
        <v>539</v>
      </c>
      <c r="E244" s="0" t="s">
        <v>542</v>
      </c>
      <c r="F244" s="0" t="s">
        <v>143</v>
      </c>
      <c r="G244" s="0" t="s">
        <v>276</v>
      </c>
      <c r="H244" s="5" t="n">
        <v>53.6</v>
      </c>
      <c r="I244" s="6" t="s">
        <v>500</v>
      </c>
      <c r="J244" s="6" t="s">
        <v>556</v>
      </c>
    </row>
    <row r="245" customFormat="false" ht="15" hidden="false" customHeight="false" outlineLevel="0" collapsed="false">
      <c r="A245" s="0" t="s">
        <v>557</v>
      </c>
      <c r="B245" s="0" t="s">
        <v>257</v>
      </c>
      <c r="C245" s="0" t="s">
        <v>419</v>
      </c>
      <c r="D245" s="0" t="s">
        <v>539</v>
      </c>
      <c r="E245" s="0" t="s">
        <v>542</v>
      </c>
      <c r="F245" s="0" t="s">
        <v>143</v>
      </c>
      <c r="G245" s="0" t="s">
        <v>276</v>
      </c>
      <c r="H245" s="5" t="n">
        <v>51</v>
      </c>
      <c r="I245" s="6" t="s">
        <v>558</v>
      </c>
      <c r="J245" s="6" t="s">
        <v>559</v>
      </c>
    </row>
    <row r="246" customFormat="false" ht="15" hidden="false" customHeight="false" outlineLevel="0" collapsed="false">
      <c r="A246" s="0" t="s">
        <v>560</v>
      </c>
      <c r="B246" s="0" t="s">
        <v>257</v>
      </c>
      <c r="C246" s="0" t="s">
        <v>419</v>
      </c>
      <c r="D246" s="0" t="s">
        <v>539</v>
      </c>
      <c r="E246" s="0" t="s">
        <v>542</v>
      </c>
      <c r="F246" s="0" t="s">
        <v>143</v>
      </c>
      <c r="G246" s="0" t="s">
        <v>276</v>
      </c>
      <c r="H246" s="5" t="n">
        <v>48.8</v>
      </c>
      <c r="I246" s="6" t="s">
        <v>561</v>
      </c>
      <c r="J246" s="6" t="s">
        <v>562</v>
      </c>
    </row>
    <row r="247" customFormat="false" ht="15" hidden="false" customHeight="false" outlineLevel="0" collapsed="false">
      <c r="A247" s="0" t="s">
        <v>563</v>
      </c>
      <c r="B247" s="0" t="s">
        <v>257</v>
      </c>
      <c r="C247" s="0" t="s">
        <v>419</v>
      </c>
      <c r="D247" s="0" t="s">
        <v>539</v>
      </c>
      <c r="E247" s="0" t="s">
        <v>542</v>
      </c>
      <c r="F247" s="0" t="s">
        <v>143</v>
      </c>
      <c r="G247" s="0" t="s">
        <v>276</v>
      </c>
      <c r="H247" s="5" t="n">
        <v>45.4</v>
      </c>
      <c r="I247" s="6" t="s">
        <v>473</v>
      </c>
      <c r="J247" s="6" t="s">
        <v>564</v>
      </c>
    </row>
    <row r="248" customFormat="false" ht="15" hidden="false" customHeight="false" outlineLevel="0" collapsed="false">
      <c r="A248" s="0" t="s">
        <v>565</v>
      </c>
      <c r="B248" s="0" t="s">
        <v>257</v>
      </c>
      <c r="C248" s="0" t="s">
        <v>419</v>
      </c>
      <c r="D248" s="0" t="s">
        <v>539</v>
      </c>
      <c r="E248" s="0" t="s">
        <v>397</v>
      </c>
      <c r="F248" s="0" t="s">
        <v>143</v>
      </c>
      <c r="G248" s="0" t="s">
        <v>276</v>
      </c>
      <c r="H248" s="5" t="n">
        <v>44</v>
      </c>
      <c r="I248" s="6" t="s">
        <v>566</v>
      </c>
      <c r="J248" s="6" t="s">
        <v>554</v>
      </c>
    </row>
    <row r="249" customFormat="false" ht="15" hidden="false" customHeight="false" outlineLevel="0" collapsed="false">
      <c r="A249" s="0" t="s">
        <v>567</v>
      </c>
      <c r="B249" s="0" t="s">
        <v>257</v>
      </c>
      <c r="C249" s="0" t="s">
        <v>419</v>
      </c>
      <c r="D249" s="0" t="s">
        <v>539</v>
      </c>
      <c r="E249" s="0" t="s">
        <v>542</v>
      </c>
      <c r="F249" s="0" t="s">
        <v>143</v>
      </c>
      <c r="G249" s="0" t="s">
        <v>276</v>
      </c>
      <c r="H249" s="5" t="n">
        <v>4.5</v>
      </c>
      <c r="I249" s="6" t="s">
        <v>568</v>
      </c>
      <c r="J249" s="6" t="s">
        <v>569</v>
      </c>
    </row>
    <row r="250" customFormat="false" ht="15" hidden="false" customHeight="false" outlineLevel="0" collapsed="false">
      <c r="A250" s="0" t="s">
        <v>570</v>
      </c>
      <c r="B250" s="0" t="s">
        <v>257</v>
      </c>
      <c r="C250" s="0" t="s">
        <v>419</v>
      </c>
      <c r="D250" s="0" t="s">
        <v>539</v>
      </c>
      <c r="E250" s="0" t="s">
        <v>542</v>
      </c>
      <c r="F250" s="0" t="s">
        <v>143</v>
      </c>
      <c r="G250" s="0" t="s">
        <v>276</v>
      </c>
      <c r="H250" s="5" t="n">
        <v>4.2</v>
      </c>
      <c r="I250" s="6" t="s">
        <v>487</v>
      </c>
      <c r="J250" s="6" t="s">
        <v>544</v>
      </c>
    </row>
    <row r="251" customFormat="false" ht="15" hidden="false" customHeight="false" outlineLevel="0" collapsed="false">
      <c r="A251" s="0" t="s">
        <v>571</v>
      </c>
      <c r="B251" s="0" t="s">
        <v>257</v>
      </c>
      <c r="C251" s="0" t="s">
        <v>419</v>
      </c>
      <c r="D251" s="0" t="s">
        <v>539</v>
      </c>
      <c r="E251" s="0" t="s">
        <v>542</v>
      </c>
      <c r="F251" s="0" t="s">
        <v>143</v>
      </c>
      <c r="G251" s="0" t="s">
        <v>276</v>
      </c>
      <c r="H251" s="5" t="n">
        <v>1.5</v>
      </c>
      <c r="I251" s="6" t="s">
        <v>572</v>
      </c>
      <c r="J251" s="6" t="s">
        <v>573</v>
      </c>
    </row>
    <row r="252" customFormat="false" ht="15" hidden="false" customHeight="false" outlineLevel="0" collapsed="false">
      <c r="A252" s="0" t="s">
        <v>574</v>
      </c>
      <c r="B252" s="0" t="s">
        <v>257</v>
      </c>
      <c r="C252" s="0" t="s">
        <v>419</v>
      </c>
      <c r="D252" s="0" t="s">
        <v>539</v>
      </c>
      <c r="E252" s="0" t="s">
        <v>542</v>
      </c>
      <c r="F252" s="0" t="s">
        <v>143</v>
      </c>
      <c r="G252" s="0" t="s">
        <v>276</v>
      </c>
      <c r="H252" s="5" t="n">
        <v>0.2</v>
      </c>
      <c r="I252" s="6" t="s">
        <v>575</v>
      </c>
      <c r="J252" s="6" t="s">
        <v>576</v>
      </c>
    </row>
    <row r="253" customFormat="false" ht="15" hidden="false" customHeight="false" outlineLevel="0" collapsed="false">
      <c r="A253" s="0" t="s">
        <v>577</v>
      </c>
      <c r="B253" s="0" t="s">
        <v>257</v>
      </c>
      <c r="C253" s="0" t="s">
        <v>419</v>
      </c>
      <c r="D253" s="0" t="s">
        <v>539</v>
      </c>
      <c r="E253" s="0" t="s">
        <v>578</v>
      </c>
      <c r="F253" s="0" t="s">
        <v>164</v>
      </c>
      <c r="G253" s="0" t="s">
        <v>276</v>
      </c>
      <c r="H253" s="5"/>
      <c r="J253" s="6" t="s">
        <v>579</v>
      </c>
    </row>
    <row r="254" customFormat="false" ht="15" hidden="false" customHeight="false" outlineLevel="0" collapsed="false">
      <c r="A254" s="0" t="s">
        <v>580</v>
      </c>
      <c r="B254" s="0" t="s">
        <v>257</v>
      </c>
      <c r="C254" s="0" t="s">
        <v>419</v>
      </c>
      <c r="D254" s="0" t="s">
        <v>539</v>
      </c>
      <c r="E254" s="0" t="s">
        <v>542</v>
      </c>
      <c r="F254" s="0" t="s">
        <v>143</v>
      </c>
      <c r="G254" s="0" t="s">
        <v>276</v>
      </c>
      <c r="H254" s="5"/>
      <c r="J254" s="6" t="s">
        <v>581</v>
      </c>
    </row>
    <row r="255" customFormat="false" ht="15" hidden="false" customHeight="false" outlineLevel="0" collapsed="false">
      <c r="A255" s="0" t="s">
        <v>582</v>
      </c>
      <c r="B255" s="0" t="s">
        <v>257</v>
      </c>
      <c r="C255" s="0" t="s">
        <v>419</v>
      </c>
      <c r="D255" s="0" t="s">
        <v>539</v>
      </c>
      <c r="E255" s="0" t="s">
        <v>397</v>
      </c>
      <c r="F255" s="0" t="s">
        <v>143</v>
      </c>
      <c r="G255" s="0" t="s">
        <v>276</v>
      </c>
      <c r="H255" s="5"/>
      <c r="J255" s="6" t="s">
        <v>583</v>
      </c>
    </row>
    <row r="256" customFormat="false" ht="15" hidden="false" customHeight="false" outlineLevel="0" collapsed="false">
      <c r="A256" s="0" t="s">
        <v>584</v>
      </c>
      <c r="B256" s="0" t="s">
        <v>257</v>
      </c>
      <c r="C256" s="0" t="s">
        <v>419</v>
      </c>
      <c r="D256" s="0" t="s">
        <v>539</v>
      </c>
      <c r="E256" s="0" t="s">
        <v>397</v>
      </c>
      <c r="F256" s="0" t="s">
        <v>143</v>
      </c>
      <c r="G256" s="0" t="s">
        <v>276</v>
      </c>
      <c r="H256" s="5"/>
      <c r="J256" s="6" t="s">
        <v>585</v>
      </c>
    </row>
    <row r="257" customFormat="false" ht="15" hidden="false" customHeight="false" outlineLevel="0" collapsed="false">
      <c r="A257" s="0" t="s">
        <v>586</v>
      </c>
      <c r="B257" s="0" t="s">
        <v>257</v>
      </c>
      <c r="C257" s="0" t="s">
        <v>419</v>
      </c>
      <c r="D257" s="0" t="s">
        <v>587</v>
      </c>
      <c r="E257" s="0" t="s">
        <v>588</v>
      </c>
      <c r="F257" s="0" t="s">
        <v>143</v>
      </c>
      <c r="G257" s="0" t="s">
        <v>276</v>
      </c>
      <c r="H257" s="5" t="n">
        <v>881.6</v>
      </c>
      <c r="I257" s="6" t="s">
        <v>262</v>
      </c>
      <c r="J257" s="6" t="s">
        <v>589</v>
      </c>
    </row>
    <row r="258" customFormat="false" ht="15" hidden="false" customHeight="false" outlineLevel="0" collapsed="false">
      <c r="A258" s="0" t="s">
        <v>590</v>
      </c>
      <c r="B258" s="0" t="s">
        <v>257</v>
      </c>
      <c r="C258" s="0" t="s">
        <v>419</v>
      </c>
      <c r="D258" s="0" t="s">
        <v>587</v>
      </c>
      <c r="E258" s="0" t="s">
        <v>588</v>
      </c>
      <c r="F258" s="0" t="s">
        <v>143</v>
      </c>
      <c r="G258" s="0" t="s">
        <v>276</v>
      </c>
      <c r="H258" s="5" t="n">
        <v>251.9</v>
      </c>
      <c r="I258" s="6" t="s">
        <v>591</v>
      </c>
      <c r="J258" s="6" t="s">
        <v>592</v>
      </c>
    </row>
    <row r="259" customFormat="false" ht="15" hidden="false" customHeight="false" outlineLevel="0" collapsed="false">
      <c r="A259" s="0" t="s">
        <v>593</v>
      </c>
      <c r="B259" s="0" t="s">
        <v>257</v>
      </c>
      <c r="C259" s="0" t="s">
        <v>419</v>
      </c>
      <c r="D259" s="0" t="s">
        <v>587</v>
      </c>
      <c r="E259" s="0" t="s">
        <v>588</v>
      </c>
      <c r="F259" s="0" t="s">
        <v>143</v>
      </c>
      <c r="G259" s="0" t="s">
        <v>276</v>
      </c>
      <c r="H259" s="5" t="n">
        <v>241.5</v>
      </c>
      <c r="I259" s="6" t="s">
        <v>591</v>
      </c>
      <c r="J259" s="6" t="s">
        <v>594</v>
      </c>
    </row>
    <row r="260" customFormat="false" ht="15" hidden="false" customHeight="false" outlineLevel="0" collapsed="false">
      <c r="A260" s="0" t="s">
        <v>595</v>
      </c>
      <c r="B260" s="0" t="s">
        <v>257</v>
      </c>
      <c r="C260" s="0" t="s">
        <v>419</v>
      </c>
      <c r="D260" s="0" t="s">
        <v>587</v>
      </c>
      <c r="E260" s="0" t="s">
        <v>588</v>
      </c>
      <c r="F260" s="0" t="s">
        <v>143</v>
      </c>
      <c r="G260" s="0" t="s">
        <v>276</v>
      </c>
      <c r="H260" s="5" t="n">
        <v>151.4</v>
      </c>
      <c r="I260" s="6" t="s">
        <v>591</v>
      </c>
      <c r="J260" s="6" t="s">
        <v>596</v>
      </c>
    </row>
    <row r="261" customFormat="false" ht="15" hidden="false" customHeight="false" outlineLevel="0" collapsed="false">
      <c r="A261" s="0" t="s">
        <v>597</v>
      </c>
      <c r="B261" s="0" t="s">
        <v>257</v>
      </c>
      <c r="C261" s="0" t="s">
        <v>419</v>
      </c>
      <c r="D261" s="0" t="s">
        <v>587</v>
      </c>
      <c r="E261" s="0" t="s">
        <v>588</v>
      </c>
      <c r="F261" s="0" t="s">
        <v>143</v>
      </c>
      <c r="G261" s="0" t="s">
        <v>276</v>
      </c>
      <c r="H261" s="5" t="n">
        <v>147.8</v>
      </c>
      <c r="I261" s="6" t="s">
        <v>591</v>
      </c>
      <c r="J261" s="6" t="s">
        <v>598</v>
      </c>
    </row>
    <row r="262" customFormat="false" ht="15" hidden="false" customHeight="false" outlineLevel="0" collapsed="false">
      <c r="A262" s="0" t="s">
        <v>599</v>
      </c>
      <c r="B262" s="0" t="s">
        <v>257</v>
      </c>
      <c r="C262" s="0" t="s">
        <v>419</v>
      </c>
      <c r="D262" s="0" t="s">
        <v>587</v>
      </c>
      <c r="E262" s="0" t="s">
        <v>588</v>
      </c>
      <c r="F262" s="0" t="s">
        <v>143</v>
      </c>
      <c r="G262" s="0" t="s">
        <v>276</v>
      </c>
      <c r="H262" s="5" t="n">
        <v>59.9</v>
      </c>
      <c r="I262" s="6" t="s">
        <v>600</v>
      </c>
      <c r="J262" s="6" t="s">
        <v>601</v>
      </c>
    </row>
    <row r="263" customFormat="false" ht="15" hidden="false" customHeight="false" outlineLevel="0" collapsed="false">
      <c r="A263" s="0" t="s">
        <v>602</v>
      </c>
      <c r="B263" s="0" t="s">
        <v>257</v>
      </c>
      <c r="C263" s="0" t="s">
        <v>419</v>
      </c>
      <c r="D263" s="0" t="s">
        <v>587</v>
      </c>
      <c r="E263" s="0" t="s">
        <v>588</v>
      </c>
      <c r="F263" s="0" t="s">
        <v>143</v>
      </c>
      <c r="G263" s="0" t="s">
        <v>276</v>
      </c>
      <c r="H263" s="5" t="n">
        <v>44.3</v>
      </c>
      <c r="I263" s="6" t="s">
        <v>603</v>
      </c>
      <c r="J263" s="6" t="s">
        <v>604</v>
      </c>
    </row>
    <row r="264" customFormat="false" ht="15" hidden="false" customHeight="false" outlineLevel="0" collapsed="false">
      <c r="A264" s="0" t="s">
        <v>605</v>
      </c>
      <c r="B264" s="0" t="s">
        <v>257</v>
      </c>
      <c r="C264" s="0" t="s">
        <v>419</v>
      </c>
      <c r="D264" s="0" t="s">
        <v>587</v>
      </c>
      <c r="E264" s="0" t="s">
        <v>588</v>
      </c>
      <c r="F264" s="0" t="s">
        <v>143</v>
      </c>
      <c r="G264" s="0" t="s">
        <v>276</v>
      </c>
      <c r="H264" s="5" t="n">
        <v>43.1</v>
      </c>
      <c r="I264" s="6" t="s">
        <v>591</v>
      </c>
      <c r="J264" s="6" t="s">
        <v>596</v>
      </c>
    </row>
    <row r="265" customFormat="false" ht="15" hidden="false" customHeight="false" outlineLevel="0" collapsed="false">
      <c r="A265" s="0" t="s">
        <v>606</v>
      </c>
      <c r="B265" s="0" t="s">
        <v>257</v>
      </c>
      <c r="C265" s="0" t="s">
        <v>419</v>
      </c>
      <c r="D265" s="0" t="s">
        <v>587</v>
      </c>
      <c r="E265" s="0" t="s">
        <v>588</v>
      </c>
      <c r="F265" s="0" t="s">
        <v>143</v>
      </c>
      <c r="G265" s="0" t="s">
        <v>276</v>
      </c>
      <c r="H265" s="5" t="n">
        <v>21.3</v>
      </c>
      <c r="I265" s="6" t="s">
        <v>600</v>
      </c>
      <c r="J265" s="6" t="s">
        <v>607</v>
      </c>
    </row>
    <row r="266" customFormat="false" ht="15" hidden="false" customHeight="false" outlineLevel="0" collapsed="false">
      <c r="A266" s="0" t="s">
        <v>608</v>
      </c>
      <c r="B266" s="0" t="s">
        <v>257</v>
      </c>
      <c r="C266" s="0" t="s">
        <v>419</v>
      </c>
      <c r="D266" s="0" t="s">
        <v>587</v>
      </c>
      <c r="E266" s="0" t="s">
        <v>588</v>
      </c>
      <c r="F266" s="0" t="s">
        <v>143</v>
      </c>
      <c r="G266" s="0" t="s">
        <v>276</v>
      </c>
      <c r="H266" s="5" t="n">
        <v>14.9</v>
      </c>
      <c r="I266" s="6" t="s">
        <v>262</v>
      </c>
      <c r="J266" s="6" t="s">
        <v>609</v>
      </c>
    </row>
    <row r="267" customFormat="false" ht="15" hidden="false" customHeight="false" outlineLevel="0" collapsed="false">
      <c r="A267" s="0" t="s">
        <v>610</v>
      </c>
      <c r="B267" s="0" t="s">
        <v>257</v>
      </c>
      <c r="C267" s="0" t="s">
        <v>419</v>
      </c>
      <c r="D267" s="0" t="s">
        <v>587</v>
      </c>
      <c r="E267" s="0" t="s">
        <v>588</v>
      </c>
      <c r="F267" s="0" t="s">
        <v>143</v>
      </c>
      <c r="G267" s="0" t="s">
        <v>276</v>
      </c>
      <c r="H267" s="5" t="n">
        <v>10.3</v>
      </c>
      <c r="I267" s="6" t="s">
        <v>611</v>
      </c>
      <c r="J267" s="6" t="s">
        <v>601</v>
      </c>
    </row>
    <row r="268" customFormat="false" ht="15" hidden="false" customHeight="false" outlineLevel="0" collapsed="false">
      <c r="A268" s="0" t="s">
        <v>612</v>
      </c>
      <c r="B268" s="0" t="s">
        <v>257</v>
      </c>
      <c r="C268" s="0" t="s">
        <v>419</v>
      </c>
      <c r="D268" s="0" t="s">
        <v>587</v>
      </c>
      <c r="E268" s="0" t="s">
        <v>588</v>
      </c>
      <c r="F268" s="0" t="s">
        <v>143</v>
      </c>
      <c r="G268" s="0" t="s">
        <v>276</v>
      </c>
      <c r="H268" s="5" t="n">
        <v>7.7</v>
      </c>
      <c r="I268" s="6" t="s">
        <v>591</v>
      </c>
      <c r="J268" s="6" t="s">
        <v>613</v>
      </c>
    </row>
    <row r="269" customFormat="false" ht="15" hidden="false" customHeight="false" outlineLevel="0" collapsed="false">
      <c r="A269" s="0" t="s">
        <v>614</v>
      </c>
      <c r="B269" s="0" t="s">
        <v>257</v>
      </c>
      <c r="C269" s="0" t="s">
        <v>419</v>
      </c>
      <c r="D269" s="0" t="s">
        <v>587</v>
      </c>
      <c r="E269" s="0" t="s">
        <v>588</v>
      </c>
      <c r="F269" s="0" t="s">
        <v>143</v>
      </c>
      <c r="G269" s="0" t="s">
        <v>276</v>
      </c>
      <c r="H269" s="5" t="n">
        <v>3</v>
      </c>
      <c r="I269" s="6" t="s">
        <v>591</v>
      </c>
      <c r="J269" s="6" t="s">
        <v>615</v>
      </c>
    </row>
    <row r="270" customFormat="false" ht="15" hidden="false" customHeight="false" outlineLevel="0" collapsed="false">
      <c r="A270" s="0" t="s">
        <v>616</v>
      </c>
      <c r="B270" s="0" t="s">
        <v>257</v>
      </c>
      <c r="C270" s="0" t="s">
        <v>419</v>
      </c>
      <c r="D270" s="0" t="s">
        <v>587</v>
      </c>
      <c r="E270" s="0" t="s">
        <v>588</v>
      </c>
      <c r="F270" s="0" t="s">
        <v>143</v>
      </c>
      <c r="G270" s="0" t="s">
        <v>276</v>
      </c>
      <c r="H270" s="5" t="n">
        <v>2.8</v>
      </c>
      <c r="I270" s="6" t="s">
        <v>617</v>
      </c>
      <c r="J270" s="6" t="s">
        <v>618</v>
      </c>
    </row>
    <row r="271" customFormat="false" ht="15" hidden="false" customHeight="false" outlineLevel="0" collapsed="false">
      <c r="A271" s="0" t="s">
        <v>619</v>
      </c>
      <c r="B271" s="0" t="s">
        <v>257</v>
      </c>
      <c r="C271" s="0" t="s">
        <v>419</v>
      </c>
      <c r="D271" s="0" t="s">
        <v>587</v>
      </c>
      <c r="E271" s="0" t="s">
        <v>588</v>
      </c>
      <c r="F271" s="0" t="s">
        <v>143</v>
      </c>
      <c r="G271" s="0" t="s">
        <v>276</v>
      </c>
      <c r="H271" s="5"/>
    </row>
    <row r="272" customFormat="false" ht="15" hidden="false" customHeight="false" outlineLevel="0" collapsed="false">
      <c r="A272" s="0" t="s">
        <v>620</v>
      </c>
      <c r="B272" s="0" t="s">
        <v>257</v>
      </c>
      <c r="C272" s="0" t="s">
        <v>419</v>
      </c>
      <c r="D272" s="0" t="s">
        <v>587</v>
      </c>
      <c r="E272" s="0" t="s">
        <v>588</v>
      </c>
      <c r="F272" s="0" t="s">
        <v>143</v>
      </c>
      <c r="G272" s="0" t="s">
        <v>276</v>
      </c>
      <c r="H272" s="5"/>
      <c r="J272" s="6" t="s">
        <v>592</v>
      </c>
    </row>
    <row r="273" customFormat="false" ht="15" hidden="false" customHeight="false" outlineLevel="0" collapsed="false">
      <c r="A273" s="0" t="s">
        <v>621</v>
      </c>
      <c r="B273" s="0" t="s">
        <v>257</v>
      </c>
      <c r="C273" s="0" t="s">
        <v>419</v>
      </c>
      <c r="D273" s="0" t="s">
        <v>622</v>
      </c>
      <c r="E273" s="0" t="s">
        <v>425</v>
      </c>
      <c r="F273" s="0" t="s">
        <v>164</v>
      </c>
      <c r="G273" s="0" t="s">
        <v>276</v>
      </c>
      <c r="H273" s="5" t="n">
        <v>12646.4</v>
      </c>
      <c r="I273" s="6" t="s">
        <v>623</v>
      </c>
      <c r="J273" s="6" t="s">
        <v>624</v>
      </c>
    </row>
    <row r="274" customFormat="false" ht="15" hidden="false" customHeight="false" outlineLevel="0" collapsed="false">
      <c r="A274" s="0" t="s">
        <v>625</v>
      </c>
      <c r="B274" s="0" t="s">
        <v>257</v>
      </c>
      <c r="C274" s="0" t="s">
        <v>419</v>
      </c>
      <c r="D274" s="0" t="s">
        <v>622</v>
      </c>
      <c r="E274" s="0" t="s">
        <v>425</v>
      </c>
      <c r="F274" s="0" t="s">
        <v>164</v>
      </c>
      <c r="G274" s="0" t="s">
        <v>276</v>
      </c>
      <c r="H274" s="5" t="n">
        <v>672.3</v>
      </c>
      <c r="I274" s="6" t="s">
        <v>626</v>
      </c>
      <c r="J274" s="6" t="s">
        <v>627</v>
      </c>
    </row>
    <row r="275" customFormat="false" ht="15" hidden="false" customHeight="false" outlineLevel="0" collapsed="false">
      <c r="A275" s="0" t="s">
        <v>628</v>
      </c>
      <c r="B275" s="0" t="s">
        <v>257</v>
      </c>
      <c r="C275" s="0" t="s">
        <v>419</v>
      </c>
      <c r="D275" s="0" t="s">
        <v>622</v>
      </c>
      <c r="E275" s="0" t="s">
        <v>425</v>
      </c>
      <c r="F275" s="0" t="s">
        <v>164</v>
      </c>
      <c r="G275" s="0" t="s">
        <v>276</v>
      </c>
      <c r="H275" s="5" t="n">
        <v>120</v>
      </c>
      <c r="I275" s="6" t="s">
        <v>405</v>
      </c>
      <c r="J275" s="6" t="s">
        <v>629</v>
      </c>
    </row>
    <row r="276" customFormat="false" ht="15" hidden="false" customHeight="false" outlineLevel="0" collapsed="false">
      <c r="A276" s="0" t="s">
        <v>630</v>
      </c>
      <c r="B276" s="0" t="s">
        <v>257</v>
      </c>
      <c r="C276" s="0" t="s">
        <v>419</v>
      </c>
      <c r="D276" s="0" t="s">
        <v>622</v>
      </c>
      <c r="E276" s="0" t="s">
        <v>425</v>
      </c>
      <c r="F276" s="0" t="s">
        <v>164</v>
      </c>
      <c r="G276" s="0" t="s">
        <v>276</v>
      </c>
      <c r="H276" s="5" t="n">
        <v>109.5</v>
      </c>
      <c r="I276" s="6" t="s">
        <v>631</v>
      </c>
      <c r="J276" s="6" t="s">
        <v>632</v>
      </c>
    </row>
    <row r="277" customFormat="false" ht="15" hidden="false" customHeight="false" outlineLevel="0" collapsed="false">
      <c r="A277" s="0" t="s">
        <v>633</v>
      </c>
      <c r="B277" s="0" t="s">
        <v>257</v>
      </c>
      <c r="C277" s="0" t="s">
        <v>419</v>
      </c>
      <c r="D277" s="0" t="s">
        <v>622</v>
      </c>
      <c r="E277" s="0" t="s">
        <v>425</v>
      </c>
      <c r="F277" s="0" t="s">
        <v>164</v>
      </c>
      <c r="G277" s="0" t="s">
        <v>276</v>
      </c>
      <c r="H277" s="5"/>
      <c r="J277" s="6" t="s">
        <v>629</v>
      </c>
    </row>
    <row r="278" customFormat="false" ht="15" hidden="false" customHeight="false" outlineLevel="0" collapsed="false">
      <c r="A278" s="0" t="s">
        <v>634</v>
      </c>
      <c r="B278" s="0" t="s">
        <v>257</v>
      </c>
      <c r="C278" s="0" t="s">
        <v>419</v>
      </c>
      <c r="D278" s="0" t="s">
        <v>622</v>
      </c>
      <c r="E278" s="0" t="s">
        <v>425</v>
      </c>
      <c r="F278" s="0" t="s">
        <v>164</v>
      </c>
      <c r="G278" s="0" t="s">
        <v>276</v>
      </c>
      <c r="H278" s="5"/>
      <c r="J278" s="6" t="s">
        <v>635</v>
      </c>
    </row>
    <row r="279" customFormat="false" ht="15" hidden="false" customHeight="false" outlineLevel="0" collapsed="false">
      <c r="A279" s="0" t="s">
        <v>636</v>
      </c>
      <c r="B279" s="0" t="s">
        <v>257</v>
      </c>
      <c r="C279" s="0" t="s">
        <v>419</v>
      </c>
      <c r="D279" s="0" t="s">
        <v>622</v>
      </c>
      <c r="E279" s="0" t="s">
        <v>425</v>
      </c>
      <c r="F279" s="0" t="s">
        <v>164</v>
      </c>
      <c r="G279" s="0" t="s">
        <v>276</v>
      </c>
      <c r="H279" s="5"/>
      <c r="J279" s="6" t="s">
        <v>637</v>
      </c>
    </row>
    <row r="280" customFormat="false" ht="15" hidden="false" customHeight="false" outlineLevel="0" collapsed="false">
      <c r="A280" s="0" t="s">
        <v>638</v>
      </c>
      <c r="B280" s="0" t="s">
        <v>257</v>
      </c>
      <c r="C280" s="0" t="s">
        <v>419</v>
      </c>
      <c r="D280" s="0" t="s">
        <v>622</v>
      </c>
      <c r="E280" s="0" t="s">
        <v>425</v>
      </c>
      <c r="F280" s="0" t="s">
        <v>164</v>
      </c>
      <c r="G280" s="0" t="s">
        <v>276</v>
      </c>
      <c r="H280" s="5"/>
      <c r="J280" s="6" t="s">
        <v>639</v>
      </c>
    </row>
    <row r="281" customFormat="false" ht="15" hidden="false" customHeight="false" outlineLevel="0" collapsed="false">
      <c r="A281" s="0" t="s">
        <v>640</v>
      </c>
      <c r="B281" s="0" t="s">
        <v>257</v>
      </c>
      <c r="C281" s="0" t="s">
        <v>419</v>
      </c>
      <c r="D281" s="0" t="s">
        <v>641</v>
      </c>
      <c r="E281" s="0" t="s">
        <v>494</v>
      </c>
      <c r="F281" s="0" t="s">
        <v>164</v>
      </c>
      <c r="G281" s="0" t="s">
        <v>276</v>
      </c>
      <c r="H281" s="5" t="n">
        <v>3241</v>
      </c>
      <c r="I281" s="6" t="s">
        <v>603</v>
      </c>
      <c r="J281" s="6" t="s">
        <v>642</v>
      </c>
    </row>
    <row r="282" customFormat="false" ht="15" hidden="false" customHeight="false" outlineLevel="0" collapsed="false">
      <c r="A282" s="0" t="s">
        <v>643</v>
      </c>
      <c r="B282" s="0" t="s">
        <v>257</v>
      </c>
      <c r="C282" s="0" t="s">
        <v>419</v>
      </c>
      <c r="D282" s="0" t="s">
        <v>641</v>
      </c>
      <c r="E282" s="0" t="s">
        <v>494</v>
      </c>
      <c r="F282" s="0" t="s">
        <v>164</v>
      </c>
      <c r="G282" s="0" t="s">
        <v>276</v>
      </c>
      <c r="H282" s="5" t="n">
        <v>1250.1</v>
      </c>
      <c r="I282" s="6" t="s">
        <v>603</v>
      </c>
      <c r="J282" s="6" t="s">
        <v>644</v>
      </c>
    </row>
    <row r="283" customFormat="false" ht="15" hidden="false" customHeight="false" outlineLevel="0" collapsed="false">
      <c r="A283" s="0" t="s">
        <v>645</v>
      </c>
      <c r="B283" s="0" t="s">
        <v>257</v>
      </c>
      <c r="C283" s="0" t="s">
        <v>419</v>
      </c>
      <c r="D283" s="0" t="s">
        <v>641</v>
      </c>
      <c r="E283" s="0" t="s">
        <v>494</v>
      </c>
      <c r="F283" s="0" t="s">
        <v>164</v>
      </c>
      <c r="G283" s="0" t="s">
        <v>276</v>
      </c>
      <c r="H283" s="5" t="n">
        <v>1002.6</v>
      </c>
      <c r="I283" s="6" t="s">
        <v>646</v>
      </c>
      <c r="J283" s="6" t="s">
        <v>647</v>
      </c>
    </row>
    <row r="284" customFormat="false" ht="15" hidden="false" customHeight="false" outlineLevel="0" collapsed="false">
      <c r="A284" s="0" t="s">
        <v>648</v>
      </c>
      <c r="B284" s="0" t="s">
        <v>257</v>
      </c>
      <c r="C284" s="0" t="s">
        <v>419</v>
      </c>
      <c r="D284" s="0" t="s">
        <v>641</v>
      </c>
      <c r="E284" s="0" t="s">
        <v>494</v>
      </c>
      <c r="F284" s="0" t="s">
        <v>164</v>
      </c>
      <c r="G284" s="0" t="s">
        <v>276</v>
      </c>
      <c r="H284" s="5" t="n">
        <v>505.3</v>
      </c>
      <c r="I284" s="6" t="s">
        <v>649</v>
      </c>
      <c r="J284" s="6" t="s">
        <v>650</v>
      </c>
    </row>
    <row r="285" customFormat="false" ht="15" hidden="false" customHeight="false" outlineLevel="0" collapsed="false">
      <c r="A285" s="0" t="s">
        <v>651</v>
      </c>
      <c r="B285" s="0" t="s">
        <v>257</v>
      </c>
      <c r="C285" s="0" t="s">
        <v>419</v>
      </c>
      <c r="D285" s="0" t="s">
        <v>641</v>
      </c>
      <c r="E285" s="0" t="s">
        <v>494</v>
      </c>
      <c r="F285" s="0" t="s">
        <v>164</v>
      </c>
      <c r="G285" s="0" t="s">
        <v>276</v>
      </c>
      <c r="H285" s="5" t="n">
        <v>465</v>
      </c>
      <c r="I285" s="6" t="s">
        <v>652</v>
      </c>
      <c r="J285" s="6" t="s">
        <v>653</v>
      </c>
    </row>
    <row r="286" customFormat="false" ht="15" hidden="false" customHeight="false" outlineLevel="0" collapsed="false">
      <c r="A286" s="0" t="s">
        <v>654</v>
      </c>
      <c r="B286" s="0" t="s">
        <v>257</v>
      </c>
      <c r="C286" s="0" t="s">
        <v>419</v>
      </c>
      <c r="D286" s="0" t="s">
        <v>641</v>
      </c>
      <c r="E286" s="0" t="s">
        <v>494</v>
      </c>
      <c r="F286" s="0" t="s">
        <v>164</v>
      </c>
      <c r="G286" s="0" t="s">
        <v>276</v>
      </c>
      <c r="H286" s="5" t="n">
        <v>142.5</v>
      </c>
      <c r="I286" s="6" t="s">
        <v>655</v>
      </c>
      <c r="J286" s="6" t="s">
        <v>656</v>
      </c>
    </row>
    <row r="287" customFormat="false" ht="15" hidden="false" customHeight="false" outlineLevel="0" collapsed="false">
      <c r="A287" s="0" t="s">
        <v>657</v>
      </c>
      <c r="B287" s="0" t="s">
        <v>257</v>
      </c>
      <c r="C287" s="0" t="s">
        <v>419</v>
      </c>
      <c r="D287" s="0" t="s">
        <v>641</v>
      </c>
      <c r="E287" s="0" t="s">
        <v>494</v>
      </c>
      <c r="F287" s="0" t="s">
        <v>164</v>
      </c>
      <c r="G287" s="0" t="s">
        <v>276</v>
      </c>
      <c r="H287" s="5" t="n">
        <v>59.2</v>
      </c>
      <c r="I287" s="6" t="s">
        <v>658</v>
      </c>
      <c r="J287" s="6" t="s">
        <v>659</v>
      </c>
    </row>
    <row r="288" customFormat="false" ht="15" hidden="false" customHeight="false" outlineLevel="0" collapsed="false">
      <c r="A288" s="0" t="s">
        <v>660</v>
      </c>
      <c r="B288" s="0" t="s">
        <v>257</v>
      </c>
      <c r="C288" s="0" t="s">
        <v>419</v>
      </c>
      <c r="D288" s="0" t="s">
        <v>641</v>
      </c>
      <c r="E288" s="0" t="s">
        <v>494</v>
      </c>
      <c r="F288" s="0" t="s">
        <v>164</v>
      </c>
      <c r="G288" s="0" t="s">
        <v>276</v>
      </c>
      <c r="H288" s="5" t="n">
        <v>26.5</v>
      </c>
      <c r="I288" s="6" t="s">
        <v>661</v>
      </c>
      <c r="J288" s="6" t="s">
        <v>662</v>
      </c>
    </row>
    <row r="289" customFormat="false" ht="15" hidden="false" customHeight="false" outlineLevel="0" collapsed="false">
      <c r="A289" s="0" t="s">
        <v>663</v>
      </c>
      <c r="B289" s="0" t="s">
        <v>257</v>
      </c>
      <c r="C289" s="0" t="s">
        <v>419</v>
      </c>
      <c r="D289" s="0" t="s">
        <v>641</v>
      </c>
      <c r="E289" s="0" t="s">
        <v>588</v>
      </c>
      <c r="F289" s="0" t="s">
        <v>143</v>
      </c>
      <c r="G289" s="0" t="s">
        <v>276</v>
      </c>
      <c r="H289" s="5" t="n">
        <v>334</v>
      </c>
      <c r="I289" s="6" t="s">
        <v>343</v>
      </c>
      <c r="J289" s="6" t="s">
        <v>664</v>
      </c>
    </row>
    <row r="290" customFormat="false" ht="15" hidden="false" customHeight="false" outlineLevel="0" collapsed="false">
      <c r="A290" s="0" t="s">
        <v>665</v>
      </c>
      <c r="B290" s="0" t="s">
        <v>257</v>
      </c>
      <c r="C290" s="0" t="s">
        <v>419</v>
      </c>
      <c r="D290" s="0" t="s">
        <v>641</v>
      </c>
      <c r="E290" s="0" t="s">
        <v>494</v>
      </c>
      <c r="F290" s="0" t="s">
        <v>164</v>
      </c>
      <c r="G290" s="0" t="s">
        <v>276</v>
      </c>
      <c r="H290" s="5"/>
      <c r="I290" s="6" t="s">
        <v>646</v>
      </c>
      <c r="J290" s="6" t="s">
        <v>666</v>
      </c>
    </row>
    <row r="291" customFormat="false" ht="15" hidden="false" customHeight="false" outlineLevel="0" collapsed="false">
      <c r="A291" s="0" t="s">
        <v>667</v>
      </c>
      <c r="B291" s="0" t="s">
        <v>257</v>
      </c>
      <c r="C291" s="0" t="s">
        <v>419</v>
      </c>
      <c r="D291" s="0" t="s">
        <v>641</v>
      </c>
      <c r="E291" s="0" t="s">
        <v>494</v>
      </c>
      <c r="F291" s="0" t="s">
        <v>164</v>
      </c>
      <c r="G291" s="0" t="s">
        <v>276</v>
      </c>
      <c r="H291" s="5"/>
    </row>
    <row r="292" customFormat="false" ht="15" hidden="false" customHeight="false" outlineLevel="0" collapsed="false">
      <c r="A292" s="0" t="s">
        <v>668</v>
      </c>
      <c r="B292" s="0" t="s">
        <v>257</v>
      </c>
      <c r="C292" s="0" t="s">
        <v>419</v>
      </c>
      <c r="D292" s="0" t="s">
        <v>669</v>
      </c>
      <c r="E292" s="0" t="s">
        <v>578</v>
      </c>
      <c r="F292" s="0" t="s">
        <v>164</v>
      </c>
      <c r="G292" s="0" t="s">
        <v>276</v>
      </c>
      <c r="H292" s="5" t="n">
        <v>991.8</v>
      </c>
      <c r="I292" s="6" t="s">
        <v>670</v>
      </c>
      <c r="J292" s="6" t="s">
        <v>671</v>
      </c>
    </row>
    <row r="293" customFormat="false" ht="15" hidden="false" customHeight="false" outlineLevel="0" collapsed="false">
      <c r="A293" s="0" t="s">
        <v>672</v>
      </c>
      <c r="B293" s="0" t="s">
        <v>257</v>
      </c>
      <c r="C293" s="0" t="s">
        <v>419</v>
      </c>
      <c r="D293" s="0" t="s">
        <v>669</v>
      </c>
      <c r="E293" s="0" t="s">
        <v>578</v>
      </c>
      <c r="F293" s="0" t="s">
        <v>164</v>
      </c>
      <c r="G293" s="0" t="s">
        <v>276</v>
      </c>
      <c r="H293" s="5" t="n">
        <v>244.6</v>
      </c>
      <c r="I293" s="6" t="s">
        <v>473</v>
      </c>
      <c r="J293" s="6" t="s">
        <v>673</v>
      </c>
    </row>
    <row r="294" customFormat="false" ht="15" hidden="false" customHeight="false" outlineLevel="0" collapsed="false">
      <c r="A294" s="0" t="s">
        <v>674</v>
      </c>
      <c r="B294" s="0" t="s">
        <v>257</v>
      </c>
      <c r="C294" s="0" t="s">
        <v>419</v>
      </c>
      <c r="D294" s="0" t="s">
        <v>669</v>
      </c>
      <c r="E294" s="0" t="s">
        <v>578</v>
      </c>
      <c r="F294" s="0" t="s">
        <v>164</v>
      </c>
      <c r="G294" s="0" t="s">
        <v>276</v>
      </c>
      <c r="H294" s="5" t="n">
        <v>85.4</v>
      </c>
      <c r="I294" s="6" t="s">
        <v>354</v>
      </c>
      <c r="J294" s="6" t="s">
        <v>675</v>
      </c>
    </row>
    <row r="295" customFormat="false" ht="15" hidden="false" customHeight="false" outlineLevel="0" collapsed="false">
      <c r="A295" s="0" t="s">
        <v>676</v>
      </c>
      <c r="B295" s="0" t="s">
        <v>257</v>
      </c>
      <c r="C295" s="0" t="s">
        <v>419</v>
      </c>
      <c r="D295" s="0" t="s">
        <v>669</v>
      </c>
      <c r="E295" s="0" t="s">
        <v>578</v>
      </c>
      <c r="F295" s="0" t="s">
        <v>164</v>
      </c>
      <c r="G295" s="0" t="s">
        <v>276</v>
      </c>
      <c r="H295" s="5" t="n">
        <v>20.3</v>
      </c>
      <c r="I295" s="6" t="s">
        <v>348</v>
      </c>
      <c r="J295" s="6" t="s">
        <v>677</v>
      </c>
    </row>
    <row r="296" customFormat="false" ht="15" hidden="false" customHeight="false" outlineLevel="0" collapsed="false">
      <c r="A296" s="0" t="s">
        <v>678</v>
      </c>
      <c r="B296" s="0" t="s">
        <v>257</v>
      </c>
      <c r="C296" s="0" t="s">
        <v>419</v>
      </c>
      <c r="D296" s="0" t="s">
        <v>669</v>
      </c>
      <c r="E296" s="0" t="s">
        <v>578</v>
      </c>
      <c r="F296" s="0" t="s">
        <v>164</v>
      </c>
      <c r="G296" s="0" t="s">
        <v>276</v>
      </c>
      <c r="H296" s="5" t="n">
        <v>4.1</v>
      </c>
      <c r="I296" s="6" t="s">
        <v>670</v>
      </c>
      <c r="J296" s="6" t="s">
        <v>679</v>
      </c>
    </row>
    <row r="297" customFormat="false" ht="15" hidden="false" customHeight="false" outlineLevel="0" collapsed="false">
      <c r="A297" s="0" t="s">
        <v>680</v>
      </c>
      <c r="B297" s="0" t="s">
        <v>257</v>
      </c>
      <c r="C297" s="0" t="s">
        <v>419</v>
      </c>
      <c r="D297" s="0" t="s">
        <v>669</v>
      </c>
      <c r="E297" s="0" t="s">
        <v>578</v>
      </c>
      <c r="F297" s="0" t="s">
        <v>164</v>
      </c>
      <c r="G297" s="0" t="s">
        <v>276</v>
      </c>
      <c r="H297" s="5"/>
      <c r="J297" s="6" t="s">
        <v>681</v>
      </c>
    </row>
    <row r="298" customFormat="false" ht="15" hidden="false" customHeight="false" outlineLevel="0" collapsed="false">
      <c r="A298" s="0" t="s">
        <v>682</v>
      </c>
      <c r="B298" s="0" t="s">
        <v>257</v>
      </c>
      <c r="C298" s="0" t="s">
        <v>419</v>
      </c>
      <c r="D298" s="0" t="s">
        <v>669</v>
      </c>
      <c r="E298" s="0" t="s">
        <v>578</v>
      </c>
      <c r="F298" s="0" t="s">
        <v>164</v>
      </c>
      <c r="G298" s="0" t="s">
        <v>276</v>
      </c>
      <c r="H298" s="5"/>
      <c r="J298" s="6" t="s">
        <v>683</v>
      </c>
    </row>
    <row r="299" customFormat="false" ht="15" hidden="false" customHeight="false" outlineLevel="0" collapsed="false">
      <c r="A299" s="0" t="s">
        <v>684</v>
      </c>
      <c r="B299" s="0" t="s">
        <v>257</v>
      </c>
      <c r="C299" s="0" t="s">
        <v>419</v>
      </c>
      <c r="D299" s="0" t="s">
        <v>685</v>
      </c>
      <c r="E299" s="0" t="s">
        <v>686</v>
      </c>
      <c r="F299" s="0" t="s">
        <v>164</v>
      </c>
      <c r="G299" s="0" t="s">
        <v>276</v>
      </c>
      <c r="H299" s="5" t="n">
        <v>1744</v>
      </c>
      <c r="I299" s="6" t="s">
        <v>687</v>
      </c>
      <c r="J299" s="6" t="s">
        <v>688</v>
      </c>
    </row>
    <row r="300" customFormat="false" ht="15" hidden="false" customHeight="false" outlineLevel="0" collapsed="false">
      <c r="A300" s="0" t="s">
        <v>689</v>
      </c>
      <c r="B300" s="0" t="s">
        <v>257</v>
      </c>
      <c r="C300" s="0" t="s">
        <v>419</v>
      </c>
      <c r="D300" s="0" t="s">
        <v>685</v>
      </c>
      <c r="E300" s="0" t="s">
        <v>686</v>
      </c>
      <c r="F300" s="0" t="s">
        <v>164</v>
      </c>
      <c r="G300" s="0" t="s">
        <v>276</v>
      </c>
      <c r="H300" s="5"/>
    </row>
    <row r="301" customFormat="false" ht="15" hidden="false" customHeight="false" outlineLevel="0" collapsed="false">
      <c r="A301" s="0" t="s">
        <v>690</v>
      </c>
      <c r="B301" s="0" t="s">
        <v>257</v>
      </c>
      <c r="C301" s="0" t="s">
        <v>419</v>
      </c>
      <c r="D301" s="0" t="s">
        <v>685</v>
      </c>
      <c r="E301" s="0" t="s">
        <v>686</v>
      </c>
      <c r="F301" s="0" t="s">
        <v>164</v>
      </c>
      <c r="G301" s="0" t="s">
        <v>276</v>
      </c>
      <c r="H301" s="5"/>
      <c r="J301" s="6" t="s">
        <v>691</v>
      </c>
    </row>
    <row r="302" customFormat="false" ht="15" hidden="false" customHeight="false" outlineLevel="0" collapsed="false">
      <c r="A302" s="0" t="s">
        <v>692</v>
      </c>
      <c r="B302" s="0" t="s">
        <v>257</v>
      </c>
      <c r="C302" s="0" t="s">
        <v>273</v>
      </c>
      <c r="D302" s="0" t="s">
        <v>693</v>
      </c>
      <c r="E302" s="0" t="s">
        <v>694</v>
      </c>
      <c r="F302" s="0" t="s">
        <v>143</v>
      </c>
      <c r="G302" s="0" t="s">
        <v>694</v>
      </c>
      <c r="H302" s="5" t="n">
        <v>3094.5</v>
      </c>
      <c r="I302" s="6" t="s">
        <v>262</v>
      </c>
      <c r="J302" s="6" t="s">
        <v>695</v>
      </c>
    </row>
    <row r="303" customFormat="false" ht="15" hidden="false" customHeight="false" outlineLevel="0" collapsed="false">
      <c r="A303" s="0" t="s">
        <v>696</v>
      </c>
      <c r="B303" s="0" t="s">
        <v>257</v>
      </c>
      <c r="C303" s="0" t="s">
        <v>273</v>
      </c>
      <c r="D303" s="0" t="s">
        <v>693</v>
      </c>
      <c r="E303" s="0" t="s">
        <v>694</v>
      </c>
      <c r="F303" s="0" t="s">
        <v>143</v>
      </c>
      <c r="G303" s="0" t="s">
        <v>694</v>
      </c>
      <c r="H303" s="5" t="n">
        <v>334.7</v>
      </c>
      <c r="I303" s="6" t="s">
        <v>697</v>
      </c>
      <c r="J303" s="6" t="s">
        <v>698</v>
      </c>
    </row>
    <row r="304" customFormat="false" ht="15" hidden="false" customHeight="false" outlineLevel="0" collapsed="false">
      <c r="A304" s="0" t="s">
        <v>699</v>
      </c>
      <c r="B304" s="0" t="s">
        <v>257</v>
      </c>
      <c r="C304" s="0" t="s">
        <v>273</v>
      </c>
      <c r="D304" s="0" t="s">
        <v>693</v>
      </c>
      <c r="E304" s="0" t="s">
        <v>694</v>
      </c>
      <c r="F304" s="0" t="s">
        <v>143</v>
      </c>
      <c r="G304" s="0" t="s">
        <v>694</v>
      </c>
      <c r="H304" s="5"/>
      <c r="J304" s="6" t="s">
        <v>700</v>
      </c>
    </row>
    <row r="305" customFormat="false" ht="15" hidden="false" customHeight="false" outlineLevel="0" collapsed="false">
      <c r="A305" s="0" t="s">
        <v>701</v>
      </c>
      <c r="B305" s="0" t="s">
        <v>257</v>
      </c>
      <c r="C305" s="0" t="s">
        <v>273</v>
      </c>
      <c r="D305" s="0" t="s">
        <v>693</v>
      </c>
      <c r="E305" s="0" t="s">
        <v>694</v>
      </c>
      <c r="F305" s="0" t="s">
        <v>261</v>
      </c>
      <c r="H305" s="5"/>
      <c r="J305" s="6" t="s">
        <v>702</v>
      </c>
    </row>
    <row r="306" customFormat="false" ht="15" hidden="false" customHeight="false" outlineLevel="0" collapsed="false">
      <c r="A306" s="0" t="s">
        <v>703</v>
      </c>
      <c r="B306" s="0" t="s">
        <v>257</v>
      </c>
      <c r="C306" s="0" t="s">
        <v>273</v>
      </c>
      <c r="D306" s="0" t="s">
        <v>693</v>
      </c>
      <c r="E306" s="0" t="s">
        <v>694</v>
      </c>
      <c r="F306" s="0" t="s">
        <v>143</v>
      </c>
      <c r="G306" s="0" t="s">
        <v>694</v>
      </c>
      <c r="H306" s="5"/>
      <c r="J306" s="6" t="s">
        <v>704</v>
      </c>
    </row>
    <row r="307" customFormat="false" ht="15" hidden="false" customHeight="false" outlineLevel="0" collapsed="false">
      <c r="A307" s="0" t="s">
        <v>705</v>
      </c>
      <c r="B307" s="0" t="s">
        <v>257</v>
      </c>
      <c r="C307" s="0" t="s">
        <v>273</v>
      </c>
      <c r="D307" s="0" t="s">
        <v>693</v>
      </c>
      <c r="E307" s="0" t="s">
        <v>694</v>
      </c>
      <c r="F307" s="0" t="s">
        <v>143</v>
      </c>
      <c r="G307" s="0" t="s">
        <v>694</v>
      </c>
      <c r="H307" s="5"/>
      <c r="J307" s="6" t="s">
        <v>706</v>
      </c>
    </row>
    <row r="308" customFormat="false" ht="15" hidden="false" customHeight="false" outlineLevel="0" collapsed="false">
      <c r="A308" s="0" t="s">
        <v>707</v>
      </c>
      <c r="B308" s="0" t="s">
        <v>257</v>
      </c>
      <c r="C308" s="0" t="s">
        <v>273</v>
      </c>
      <c r="D308" s="0" t="s">
        <v>708</v>
      </c>
      <c r="E308" s="0" t="s">
        <v>694</v>
      </c>
      <c r="F308" s="0" t="s">
        <v>143</v>
      </c>
      <c r="G308" s="0" t="s">
        <v>694</v>
      </c>
      <c r="H308" s="5"/>
      <c r="J308" s="6" t="s">
        <v>709</v>
      </c>
    </row>
    <row r="309" customFormat="false" ht="15" hidden="false" customHeight="false" outlineLevel="0" collapsed="false">
      <c r="A309" s="0" t="s">
        <v>710</v>
      </c>
      <c r="B309" s="0" t="s">
        <v>257</v>
      </c>
      <c r="C309" s="0" t="s">
        <v>273</v>
      </c>
      <c r="D309" s="0" t="s">
        <v>708</v>
      </c>
      <c r="E309" s="0" t="s">
        <v>694</v>
      </c>
      <c r="F309" s="0" t="s">
        <v>143</v>
      </c>
      <c r="G309" s="0" t="s">
        <v>694</v>
      </c>
      <c r="H309" s="5"/>
      <c r="J309" s="6" t="s">
        <v>711</v>
      </c>
    </row>
    <row r="310" customFormat="false" ht="15" hidden="false" customHeight="false" outlineLevel="0" collapsed="false">
      <c r="A310" s="0" t="s">
        <v>712</v>
      </c>
      <c r="B310" s="0" t="s">
        <v>257</v>
      </c>
      <c r="C310" s="0" t="s">
        <v>273</v>
      </c>
      <c r="D310" s="0" t="s">
        <v>713</v>
      </c>
      <c r="E310" s="0" t="s">
        <v>333</v>
      </c>
      <c r="F310" s="0" t="s">
        <v>143</v>
      </c>
      <c r="G310" s="0" t="s">
        <v>694</v>
      </c>
      <c r="H310" s="5" t="n">
        <v>1034.2</v>
      </c>
      <c r="I310" s="6" t="s">
        <v>714</v>
      </c>
      <c r="J310" s="6" t="s">
        <v>715</v>
      </c>
    </row>
    <row r="311" customFormat="false" ht="15" hidden="false" customHeight="false" outlineLevel="0" collapsed="false">
      <c r="A311" s="0" t="s">
        <v>716</v>
      </c>
      <c r="B311" s="0" t="s">
        <v>257</v>
      </c>
      <c r="C311" s="0" t="s">
        <v>273</v>
      </c>
      <c r="D311" s="0" t="s">
        <v>713</v>
      </c>
      <c r="E311" s="0" t="s">
        <v>333</v>
      </c>
      <c r="F311" s="0" t="s">
        <v>143</v>
      </c>
      <c r="G311" s="0" t="s">
        <v>694</v>
      </c>
      <c r="H311" s="5" t="n">
        <v>280.7</v>
      </c>
      <c r="I311" s="6" t="s">
        <v>336</v>
      </c>
      <c r="J311" s="6" t="s">
        <v>717</v>
      </c>
    </row>
    <row r="312" customFormat="false" ht="15" hidden="false" customHeight="false" outlineLevel="0" collapsed="false">
      <c r="A312" s="0" t="s">
        <v>718</v>
      </c>
      <c r="B312" s="0" t="s">
        <v>257</v>
      </c>
      <c r="C312" s="0" t="s">
        <v>273</v>
      </c>
      <c r="D312" s="0" t="s">
        <v>713</v>
      </c>
      <c r="E312" s="0" t="s">
        <v>333</v>
      </c>
      <c r="F312" s="0" t="s">
        <v>143</v>
      </c>
      <c r="G312" s="0" t="s">
        <v>694</v>
      </c>
      <c r="H312" s="5" t="n">
        <v>264.5</v>
      </c>
      <c r="I312" s="6" t="s">
        <v>719</v>
      </c>
      <c r="J312" s="6" t="s">
        <v>720</v>
      </c>
    </row>
    <row r="313" customFormat="false" ht="15" hidden="false" customHeight="false" outlineLevel="0" collapsed="false">
      <c r="A313" s="0" t="s">
        <v>721</v>
      </c>
      <c r="B313" s="0" t="s">
        <v>257</v>
      </c>
      <c r="C313" s="0" t="s">
        <v>273</v>
      </c>
      <c r="D313" s="0" t="s">
        <v>713</v>
      </c>
      <c r="E313" s="0" t="s">
        <v>333</v>
      </c>
      <c r="F313" s="0" t="s">
        <v>143</v>
      </c>
      <c r="G313" s="0" t="s">
        <v>694</v>
      </c>
      <c r="H313" s="5" t="n">
        <v>240.6</v>
      </c>
      <c r="I313" s="6" t="s">
        <v>262</v>
      </c>
      <c r="J313" s="6" t="s">
        <v>722</v>
      </c>
    </row>
    <row r="314" customFormat="false" ht="15" hidden="false" customHeight="false" outlineLevel="0" collapsed="false">
      <c r="A314" s="0" t="s">
        <v>723</v>
      </c>
      <c r="B314" s="0" t="s">
        <v>257</v>
      </c>
      <c r="C314" s="0" t="s">
        <v>273</v>
      </c>
      <c r="D314" s="0" t="s">
        <v>713</v>
      </c>
      <c r="E314" s="0" t="s">
        <v>528</v>
      </c>
      <c r="F314" s="0" t="s">
        <v>143</v>
      </c>
      <c r="G314" s="0" t="s">
        <v>694</v>
      </c>
      <c r="H314" s="5" t="n">
        <v>161.1</v>
      </c>
      <c r="I314" s="6" t="s">
        <v>724</v>
      </c>
      <c r="J314" s="6" t="s">
        <v>725</v>
      </c>
    </row>
    <row r="315" customFormat="false" ht="15" hidden="false" customHeight="false" outlineLevel="0" collapsed="false">
      <c r="A315" s="0" t="s">
        <v>726</v>
      </c>
      <c r="B315" s="0" t="s">
        <v>257</v>
      </c>
      <c r="C315" s="0" t="s">
        <v>273</v>
      </c>
      <c r="D315" s="0" t="s">
        <v>713</v>
      </c>
      <c r="E315" s="0" t="s">
        <v>333</v>
      </c>
      <c r="F315" s="0" t="s">
        <v>143</v>
      </c>
      <c r="G315" s="0" t="s">
        <v>694</v>
      </c>
      <c r="H315" s="5" t="n">
        <v>84.5</v>
      </c>
      <c r="I315" s="6" t="s">
        <v>727</v>
      </c>
      <c r="J315" s="6" t="s">
        <v>728</v>
      </c>
    </row>
    <row r="316" customFormat="false" ht="15" hidden="false" customHeight="false" outlineLevel="0" collapsed="false">
      <c r="A316" s="0" t="s">
        <v>729</v>
      </c>
      <c r="B316" s="0" t="s">
        <v>257</v>
      </c>
      <c r="C316" s="0" t="s">
        <v>273</v>
      </c>
      <c r="D316" s="0" t="s">
        <v>713</v>
      </c>
      <c r="E316" s="0" t="s">
        <v>333</v>
      </c>
      <c r="F316" s="0" t="s">
        <v>143</v>
      </c>
      <c r="G316" s="0" t="s">
        <v>694</v>
      </c>
      <c r="H316" s="5" t="n">
        <v>9.3</v>
      </c>
      <c r="I316" s="6" t="s">
        <v>730</v>
      </c>
      <c r="J316" s="6" t="s">
        <v>731</v>
      </c>
    </row>
    <row r="317" customFormat="false" ht="15" hidden="false" customHeight="false" outlineLevel="0" collapsed="false">
      <c r="A317" s="0" t="s">
        <v>732</v>
      </c>
      <c r="B317" s="0" t="s">
        <v>257</v>
      </c>
      <c r="C317" s="0" t="s">
        <v>273</v>
      </c>
      <c r="D317" s="0" t="s">
        <v>713</v>
      </c>
      <c r="E317" s="0" t="s">
        <v>333</v>
      </c>
      <c r="F317" s="0" t="s">
        <v>143</v>
      </c>
      <c r="G317" s="0" t="s">
        <v>694</v>
      </c>
      <c r="H317" s="5" t="n">
        <v>1</v>
      </c>
      <c r="I317" s="6" t="s">
        <v>262</v>
      </c>
      <c r="J317" s="6" t="s">
        <v>733</v>
      </c>
    </row>
    <row r="318" customFormat="false" ht="15" hidden="false" customHeight="false" outlineLevel="0" collapsed="false">
      <c r="A318" s="0" t="s">
        <v>734</v>
      </c>
      <c r="B318" s="0" t="s">
        <v>257</v>
      </c>
      <c r="C318" s="0" t="s">
        <v>273</v>
      </c>
      <c r="D318" s="0" t="s">
        <v>713</v>
      </c>
      <c r="E318" s="0" t="s">
        <v>333</v>
      </c>
      <c r="F318" s="0" t="s">
        <v>143</v>
      </c>
      <c r="G318" s="0" t="s">
        <v>694</v>
      </c>
      <c r="H318" s="5"/>
      <c r="J318" s="6" t="s">
        <v>735</v>
      </c>
    </row>
    <row r="319" customFormat="false" ht="15" hidden="false" customHeight="false" outlineLevel="0" collapsed="false">
      <c r="A319" s="0" t="s">
        <v>736</v>
      </c>
      <c r="B319" s="0" t="s">
        <v>257</v>
      </c>
      <c r="C319" s="0" t="s">
        <v>273</v>
      </c>
      <c r="D319" s="0" t="s">
        <v>713</v>
      </c>
      <c r="E319" s="0" t="s">
        <v>333</v>
      </c>
      <c r="F319" s="0" t="s">
        <v>143</v>
      </c>
      <c r="G319" s="0" t="s">
        <v>694</v>
      </c>
      <c r="H319" s="5"/>
      <c r="J319" s="6" t="s">
        <v>737</v>
      </c>
    </row>
    <row r="320" customFormat="false" ht="15" hidden="false" customHeight="false" outlineLevel="0" collapsed="false">
      <c r="A320" s="0" t="s">
        <v>738</v>
      </c>
      <c r="B320" s="0" t="s">
        <v>257</v>
      </c>
      <c r="C320" s="0" t="s">
        <v>273</v>
      </c>
      <c r="D320" s="0" t="s">
        <v>713</v>
      </c>
      <c r="E320" s="0" t="s">
        <v>333</v>
      </c>
      <c r="F320" s="0" t="s">
        <v>143</v>
      </c>
      <c r="G320" s="0" t="s">
        <v>694</v>
      </c>
      <c r="H320" s="5" t="n">
        <v>21.9</v>
      </c>
      <c r="J320" s="6" t="s">
        <v>739</v>
      </c>
    </row>
    <row r="321" customFormat="false" ht="15" hidden="false" customHeight="false" outlineLevel="0" collapsed="false">
      <c r="A321" s="0" t="s">
        <v>740</v>
      </c>
      <c r="B321" s="0" t="s">
        <v>257</v>
      </c>
      <c r="C321" s="0" t="s">
        <v>273</v>
      </c>
      <c r="D321" s="0" t="s">
        <v>713</v>
      </c>
      <c r="E321" s="0" t="s">
        <v>333</v>
      </c>
      <c r="F321" s="0" t="s">
        <v>143</v>
      </c>
      <c r="G321" s="0" t="s">
        <v>694</v>
      </c>
      <c r="H321" s="5"/>
      <c r="J321" s="6" t="s">
        <v>720</v>
      </c>
    </row>
    <row r="322" customFormat="false" ht="15" hidden="false" customHeight="false" outlineLevel="0" collapsed="false">
      <c r="A322" s="0" t="s">
        <v>741</v>
      </c>
      <c r="B322" s="0" t="s">
        <v>257</v>
      </c>
      <c r="C322" s="0" t="s">
        <v>273</v>
      </c>
      <c r="D322" s="0" t="s">
        <v>713</v>
      </c>
      <c r="E322" s="0" t="s">
        <v>333</v>
      </c>
      <c r="F322" s="0" t="s">
        <v>143</v>
      </c>
      <c r="G322" s="0" t="s">
        <v>694</v>
      </c>
      <c r="H322" s="5"/>
      <c r="J322" s="6" t="s">
        <v>742</v>
      </c>
    </row>
    <row r="323" customFormat="false" ht="15" hidden="false" customHeight="false" outlineLevel="0" collapsed="false">
      <c r="A323" s="0" t="s">
        <v>743</v>
      </c>
      <c r="B323" s="0" t="s">
        <v>257</v>
      </c>
      <c r="C323" s="0" t="s">
        <v>273</v>
      </c>
      <c r="D323" s="0" t="s">
        <v>713</v>
      </c>
      <c r="E323" s="0" t="s">
        <v>333</v>
      </c>
      <c r="F323" s="0" t="s">
        <v>143</v>
      </c>
      <c r="G323" s="0" t="s">
        <v>694</v>
      </c>
      <c r="H323" s="5"/>
      <c r="J323" s="6" t="s">
        <v>742</v>
      </c>
    </row>
    <row r="324" customFormat="false" ht="15" hidden="false" customHeight="false" outlineLevel="0" collapsed="false">
      <c r="A324" s="0" t="s">
        <v>744</v>
      </c>
      <c r="B324" s="0" t="s">
        <v>257</v>
      </c>
      <c r="C324" s="0" t="s">
        <v>273</v>
      </c>
      <c r="D324" s="0" t="s">
        <v>713</v>
      </c>
      <c r="E324" s="0" t="s">
        <v>333</v>
      </c>
      <c r="F324" s="0" t="s">
        <v>143</v>
      </c>
      <c r="G324" s="0" t="s">
        <v>694</v>
      </c>
      <c r="H324" s="5"/>
      <c r="J324" s="6" t="s">
        <v>745</v>
      </c>
    </row>
    <row r="325" customFormat="false" ht="15" hidden="false" customHeight="false" outlineLevel="0" collapsed="false">
      <c r="A325" s="0" t="s">
        <v>746</v>
      </c>
      <c r="B325" s="0" t="s">
        <v>257</v>
      </c>
      <c r="C325" s="0" t="s">
        <v>273</v>
      </c>
      <c r="D325" s="0" t="s">
        <v>747</v>
      </c>
      <c r="E325" s="0" t="s">
        <v>748</v>
      </c>
      <c r="F325" s="0" t="s">
        <v>143</v>
      </c>
      <c r="G325" s="0" t="s">
        <v>694</v>
      </c>
      <c r="H325" s="5" t="n">
        <v>1000</v>
      </c>
      <c r="I325" s="6" t="s">
        <v>152</v>
      </c>
    </row>
    <row r="326" customFormat="false" ht="15" hidden="false" customHeight="false" outlineLevel="0" collapsed="false">
      <c r="A326" s="0" t="s">
        <v>749</v>
      </c>
      <c r="B326" s="0" t="s">
        <v>257</v>
      </c>
      <c r="C326" s="0" t="s">
        <v>273</v>
      </c>
      <c r="D326" s="0" t="s">
        <v>747</v>
      </c>
      <c r="E326" s="0" t="s">
        <v>748</v>
      </c>
      <c r="F326" s="0" t="s">
        <v>143</v>
      </c>
      <c r="G326" s="0" t="s">
        <v>694</v>
      </c>
      <c r="H326" s="5" t="n">
        <v>148.5</v>
      </c>
      <c r="I326" s="6" t="s">
        <v>262</v>
      </c>
      <c r="J326" s="6" t="s">
        <v>750</v>
      </c>
    </row>
    <row r="327" customFormat="false" ht="15" hidden="false" customHeight="false" outlineLevel="0" collapsed="false">
      <c r="A327" s="0" t="s">
        <v>751</v>
      </c>
      <c r="B327" s="0" t="s">
        <v>257</v>
      </c>
      <c r="C327" s="0" t="s">
        <v>273</v>
      </c>
      <c r="D327" s="0" t="s">
        <v>747</v>
      </c>
      <c r="E327" s="0" t="s">
        <v>748</v>
      </c>
      <c r="F327" s="0" t="s">
        <v>143</v>
      </c>
      <c r="G327" s="0" t="s">
        <v>694</v>
      </c>
      <c r="H327" s="5" t="n">
        <v>36.1</v>
      </c>
      <c r="I327" s="6" t="s">
        <v>57</v>
      </c>
      <c r="J327" s="6" t="s">
        <v>752</v>
      </c>
    </row>
    <row r="328" customFormat="false" ht="15" hidden="false" customHeight="false" outlineLevel="0" collapsed="false">
      <c r="A328" s="0" t="s">
        <v>753</v>
      </c>
      <c r="B328" s="0" t="s">
        <v>257</v>
      </c>
      <c r="C328" s="0" t="s">
        <v>273</v>
      </c>
      <c r="D328" s="0" t="s">
        <v>747</v>
      </c>
      <c r="E328" s="0" t="s">
        <v>748</v>
      </c>
      <c r="F328" s="0" t="s">
        <v>143</v>
      </c>
      <c r="G328" s="0" t="s">
        <v>694</v>
      </c>
      <c r="H328" s="5"/>
      <c r="J328" s="6" t="s">
        <v>754</v>
      </c>
    </row>
    <row r="329" customFormat="false" ht="15" hidden="false" customHeight="false" outlineLevel="0" collapsed="false">
      <c r="A329" s="0" t="s">
        <v>755</v>
      </c>
      <c r="B329" s="0" t="s">
        <v>257</v>
      </c>
      <c r="C329" s="0" t="s">
        <v>273</v>
      </c>
      <c r="D329" s="0" t="s">
        <v>747</v>
      </c>
      <c r="E329" s="0" t="s">
        <v>748</v>
      </c>
      <c r="F329" s="0" t="s">
        <v>143</v>
      </c>
      <c r="G329" s="0" t="s">
        <v>694</v>
      </c>
      <c r="H329" s="5"/>
      <c r="J329" s="6" t="s">
        <v>756</v>
      </c>
    </row>
    <row r="330" customFormat="false" ht="15" hidden="false" customHeight="false" outlineLevel="0" collapsed="false">
      <c r="A330" s="0" t="s">
        <v>757</v>
      </c>
      <c r="B330" s="0" t="s">
        <v>257</v>
      </c>
      <c r="C330" s="0" t="s">
        <v>273</v>
      </c>
      <c r="D330" s="0" t="s">
        <v>274</v>
      </c>
      <c r="E330" s="0" t="s">
        <v>758</v>
      </c>
      <c r="F330" s="0" t="s">
        <v>143</v>
      </c>
      <c r="G330" s="0" t="s">
        <v>694</v>
      </c>
      <c r="H330" s="5" t="n">
        <v>16995.3</v>
      </c>
      <c r="I330" s="6" t="s">
        <v>262</v>
      </c>
      <c r="J330" s="6" t="s">
        <v>759</v>
      </c>
    </row>
    <row r="331" customFormat="false" ht="15" hidden="false" customHeight="false" outlineLevel="0" collapsed="false">
      <c r="A331" s="0" t="s">
        <v>760</v>
      </c>
      <c r="B331" s="0" t="s">
        <v>257</v>
      </c>
      <c r="C331" s="0" t="s">
        <v>273</v>
      </c>
      <c r="D331" s="0" t="s">
        <v>274</v>
      </c>
      <c r="E331" s="0" t="s">
        <v>761</v>
      </c>
      <c r="F331" s="0" t="s">
        <v>143</v>
      </c>
      <c r="G331" s="0" t="s">
        <v>694</v>
      </c>
      <c r="H331" s="5" t="n">
        <v>14204.9</v>
      </c>
      <c r="I331" s="6" t="s">
        <v>473</v>
      </c>
      <c r="J331" s="6" t="s">
        <v>762</v>
      </c>
    </row>
    <row r="332" customFormat="false" ht="15" hidden="false" customHeight="false" outlineLevel="0" collapsed="false">
      <c r="A332" s="0" t="s">
        <v>763</v>
      </c>
      <c r="B332" s="0" t="s">
        <v>257</v>
      </c>
      <c r="C332" s="0" t="s">
        <v>273</v>
      </c>
      <c r="D332" s="0" t="s">
        <v>274</v>
      </c>
      <c r="E332" s="0" t="s">
        <v>758</v>
      </c>
      <c r="F332" s="0" t="s">
        <v>143</v>
      </c>
      <c r="G332" s="0" t="s">
        <v>694</v>
      </c>
      <c r="H332" s="5" t="n">
        <v>4423</v>
      </c>
      <c r="I332" s="6" t="s">
        <v>262</v>
      </c>
      <c r="J332" s="6" t="s">
        <v>764</v>
      </c>
    </row>
    <row r="333" customFormat="false" ht="15" hidden="false" customHeight="false" outlineLevel="0" collapsed="false">
      <c r="A333" s="0" t="s">
        <v>765</v>
      </c>
      <c r="B333" s="0" t="s">
        <v>257</v>
      </c>
      <c r="C333" s="0" t="s">
        <v>273</v>
      </c>
      <c r="D333" s="0" t="s">
        <v>274</v>
      </c>
      <c r="E333" s="0" t="s">
        <v>761</v>
      </c>
      <c r="F333" s="0" t="s">
        <v>143</v>
      </c>
      <c r="G333" s="0" t="s">
        <v>694</v>
      </c>
      <c r="H333" s="5" t="n">
        <v>3589.4</v>
      </c>
      <c r="I333" s="6" t="s">
        <v>766</v>
      </c>
      <c r="J333" s="6" t="s">
        <v>767</v>
      </c>
    </row>
    <row r="334" customFormat="false" ht="15" hidden="false" customHeight="false" outlineLevel="0" collapsed="false">
      <c r="A334" s="0" t="s">
        <v>768</v>
      </c>
      <c r="B334" s="0" t="s">
        <v>257</v>
      </c>
      <c r="C334" s="0" t="s">
        <v>273</v>
      </c>
      <c r="D334" s="0" t="s">
        <v>274</v>
      </c>
      <c r="E334" s="0" t="s">
        <v>761</v>
      </c>
      <c r="F334" s="0" t="s">
        <v>143</v>
      </c>
      <c r="G334" s="0" t="s">
        <v>694</v>
      </c>
      <c r="H334" s="5" t="n">
        <v>558.4</v>
      </c>
      <c r="I334" s="6" t="s">
        <v>473</v>
      </c>
      <c r="J334" s="6" t="s">
        <v>762</v>
      </c>
    </row>
    <row r="335" customFormat="false" ht="15" hidden="false" customHeight="false" outlineLevel="0" collapsed="false">
      <c r="A335" s="0" t="s">
        <v>769</v>
      </c>
      <c r="B335" s="0" t="s">
        <v>257</v>
      </c>
      <c r="C335" s="0" t="s">
        <v>273</v>
      </c>
      <c r="D335" s="0" t="s">
        <v>274</v>
      </c>
      <c r="E335" s="0" t="s">
        <v>770</v>
      </c>
      <c r="F335" s="0" t="s">
        <v>143</v>
      </c>
      <c r="G335" s="0" t="s">
        <v>694</v>
      </c>
      <c r="H335" s="5" t="n">
        <v>478.3</v>
      </c>
      <c r="I335" s="6" t="s">
        <v>262</v>
      </c>
      <c r="J335" s="6" t="s">
        <v>771</v>
      </c>
    </row>
    <row r="336" customFormat="false" ht="15" hidden="false" customHeight="false" outlineLevel="0" collapsed="false">
      <c r="A336" s="0" t="s">
        <v>772</v>
      </c>
      <c r="B336" s="0" t="s">
        <v>257</v>
      </c>
      <c r="C336" s="0" t="s">
        <v>273</v>
      </c>
      <c r="D336" s="0" t="s">
        <v>274</v>
      </c>
      <c r="E336" s="0" t="s">
        <v>761</v>
      </c>
      <c r="F336" s="0" t="s">
        <v>143</v>
      </c>
      <c r="G336" s="0" t="s">
        <v>694</v>
      </c>
      <c r="H336" s="5" t="n">
        <v>471.3</v>
      </c>
      <c r="I336" s="6" t="s">
        <v>262</v>
      </c>
      <c r="J336" s="6" t="s">
        <v>773</v>
      </c>
    </row>
    <row r="337" customFormat="false" ht="15" hidden="false" customHeight="false" outlineLevel="0" collapsed="false">
      <c r="A337" s="0" t="s">
        <v>774</v>
      </c>
      <c r="B337" s="0" t="s">
        <v>257</v>
      </c>
      <c r="C337" s="0" t="s">
        <v>273</v>
      </c>
      <c r="D337" s="0" t="s">
        <v>274</v>
      </c>
      <c r="E337" s="0" t="s">
        <v>761</v>
      </c>
      <c r="F337" s="0" t="s">
        <v>143</v>
      </c>
      <c r="G337" s="0" t="s">
        <v>694</v>
      </c>
      <c r="H337" s="5" t="n">
        <v>241.2</v>
      </c>
      <c r="I337" s="6" t="s">
        <v>262</v>
      </c>
      <c r="J337" s="6" t="s">
        <v>775</v>
      </c>
    </row>
    <row r="338" customFormat="false" ht="15" hidden="false" customHeight="false" outlineLevel="0" collapsed="false">
      <c r="A338" s="0" t="s">
        <v>776</v>
      </c>
      <c r="B338" s="0" t="s">
        <v>257</v>
      </c>
      <c r="C338" s="0" t="s">
        <v>273</v>
      </c>
      <c r="D338" s="0" t="s">
        <v>274</v>
      </c>
      <c r="E338" s="0" t="s">
        <v>761</v>
      </c>
      <c r="F338" s="0" t="s">
        <v>143</v>
      </c>
      <c r="G338" s="0" t="s">
        <v>694</v>
      </c>
      <c r="H338" s="5" t="n">
        <v>214.7</v>
      </c>
      <c r="I338" s="6" t="s">
        <v>473</v>
      </c>
      <c r="J338" s="6" t="s">
        <v>777</v>
      </c>
    </row>
    <row r="339" customFormat="false" ht="15" hidden="false" customHeight="false" outlineLevel="0" collapsed="false">
      <c r="A339" s="0" t="s">
        <v>778</v>
      </c>
      <c r="B339" s="0" t="s">
        <v>257</v>
      </c>
      <c r="C339" s="0" t="s">
        <v>273</v>
      </c>
      <c r="D339" s="0" t="s">
        <v>274</v>
      </c>
      <c r="E339" s="0" t="s">
        <v>761</v>
      </c>
      <c r="F339" s="0" t="s">
        <v>143</v>
      </c>
      <c r="G339" s="0" t="s">
        <v>694</v>
      </c>
      <c r="H339" s="5" t="n">
        <v>0.2</v>
      </c>
      <c r="I339" s="6" t="s">
        <v>262</v>
      </c>
      <c r="J339" s="6" t="s">
        <v>779</v>
      </c>
    </row>
    <row r="340" customFormat="false" ht="15" hidden="false" customHeight="false" outlineLevel="0" collapsed="false">
      <c r="A340" s="0" t="s">
        <v>780</v>
      </c>
      <c r="B340" s="0" t="s">
        <v>257</v>
      </c>
      <c r="C340" s="0" t="s">
        <v>273</v>
      </c>
      <c r="D340" s="0" t="s">
        <v>274</v>
      </c>
      <c r="E340" s="0" t="s">
        <v>770</v>
      </c>
      <c r="F340" s="0" t="s">
        <v>143</v>
      </c>
      <c r="G340" s="0" t="s">
        <v>694</v>
      </c>
      <c r="H340" s="5"/>
      <c r="J340" s="6" t="s">
        <v>781</v>
      </c>
    </row>
    <row r="341" customFormat="false" ht="15" hidden="false" customHeight="false" outlineLevel="0" collapsed="false">
      <c r="A341" s="0" t="s">
        <v>782</v>
      </c>
      <c r="B341" s="0" t="s">
        <v>257</v>
      </c>
      <c r="C341" s="0" t="s">
        <v>273</v>
      </c>
      <c r="D341" s="0" t="s">
        <v>274</v>
      </c>
      <c r="E341" s="0" t="s">
        <v>770</v>
      </c>
      <c r="F341" s="0" t="s">
        <v>143</v>
      </c>
      <c r="G341" s="0" t="s">
        <v>694</v>
      </c>
      <c r="H341" s="5"/>
      <c r="J341" s="6" t="s">
        <v>783</v>
      </c>
    </row>
    <row r="342" customFormat="false" ht="15" hidden="false" customHeight="false" outlineLevel="0" collapsed="false">
      <c r="A342" s="0" t="s">
        <v>784</v>
      </c>
      <c r="B342" s="0" t="s">
        <v>257</v>
      </c>
      <c r="C342" s="0" t="s">
        <v>273</v>
      </c>
      <c r="D342" s="0" t="s">
        <v>274</v>
      </c>
      <c r="E342" s="0" t="s">
        <v>770</v>
      </c>
      <c r="F342" s="0" t="s">
        <v>143</v>
      </c>
      <c r="G342" s="0" t="s">
        <v>694</v>
      </c>
      <c r="H342" s="5"/>
      <c r="J342" s="6" t="s">
        <v>785</v>
      </c>
    </row>
    <row r="343" customFormat="false" ht="15" hidden="false" customHeight="false" outlineLevel="0" collapsed="false">
      <c r="A343" s="0" t="s">
        <v>786</v>
      </c>
      <c r="B343" s="0" t="s">
        <v>257</v>
      </c>
      <c r="C343" s="0" t="s">
        <v>273</v>
      </c>
      <c r="D343" s="0" t="s">
        <v>274</v>
      </c>
      <c r="E343" s="0" t="s">
        <v>770</v>
      </c>
      <c r="F343" s="0" t="s">
        <v>143</v>
      </c>
      <c r="G343" s="0" t="s">
        <v>694</v>
      </c>
      <c r="H343" s="5"/>
      <c r="J343" s="6" t="s">
        <v>787</v>
      </c>
    </row>
    <row r="344" customFormat="false" ht="15" hidden="false" customHeight="false" outlineLevel="0" collapsed="false">
      <c r="A344" s="0" t="s">
        <v>788</v>
      </c>
      <c r="B344" s="0" t="s">
        <v>257</v>
      </c>
      <c r="C344" s="0" t="s">
        <v>273</v>
      </c>
      <c r="D344" s="0" t="s">
        <v>789</v>
      </c>
      <c r="E344" s="0" t="s">
        <v>748</v>
      </c>
      <c r="F344" s="0" t="s">
        <v>143</v>
      </c>
      <c r="G344" s="0" t="s">
        <v>694</v>
      </c>
      <c r="H344" s="5" t="n">
        <v>567</v>
      </c>
      <c r="I344" s="6" t="s">
        <v>262</v>
      </c>
    </row>
    <row r="345" customFormat="false" ht="15" hidden="false" customHeight="false" outlineLevel="0" collapsed="false">
      <c r="A345" s="0" t="s">
        <v>790</v>
      </c>
      <c r="B345" s="0" t="s">
        <v>257</v>
      </c>
      <c r="C345" s="0" t="s">
        <v>273</v>
      </c>
      <c r="D345" s="0" t="s">
        <v>789</v>
      </c>
      <c r="E345" s="0" t="s">
        <v>748</v>
      </c>
      <c r="F345" s="0" t="s">
        <v>143</v>
      </c>
      <c r="G345" s="0" t="s">
        <v>694</v>
      </c>
      <c r="H345" s="5" t="n">
        <v>392.7</v>
      </c>
      <c r="I345" s="6" t="s">
        <v>566</v>
      </c>
      <c r="J345" s="6" t="s">
        <v>791</v>
      </c>
    </row>
    <row r="346" customFormat="false" ht="15" hidden="false" customHeight="false" outlineLevel="0" collapsed="false">
      <c r="A346" s="0" t="s">
        <v>792</v>
      </c>
      <c r="B346" s="0" t="s">
        <v>257</v>
      </c>
      <c r="C346" s="0" t="s">
        <v>273</v>
      </c>
      <c r="D346" s="0" t="s">
        <v>789</v>
      </c>
      <c r="E346" s="0" t="s">
        <v>748</v>
      </c>
      <c r="F346" s="0" t="s">
        <v>143</v>
      </c>
      <c r="G346" s="0" t="s">
        <v>694</v>
      </c>
      <c r="H346" s="5" t="n">
        <v>45</v>
      </c>
      <c r="I346" s="6" t="s">
        <v>793</v>
      </c>
      <c r="J346" s="6" t="s">
        <v>794</v>
      </c>
    </row>
    <row r="347" customFormat="false" ht="15" hidden="false" customHeight="false" outlineLevel="0" collapsed="false">
      <c r="A347" s="0" t="s">
        <v>795</v>
      </c>
      <c r="B347" s="0" t="s">
        <v>257</v>
      </c>
      <c r="C347" s="0" t="s">
        <v>273</v>
      </c>
      <c r="D347" s="0" t="s">
        <v>789</v>
      </c>
      <c r="E347" s="0" t="s">
        <v>748</v>
      </c>
      <c r="F347" s="0" t="s">
        <v>143</v>
      </c>
      <c r="G347" s="0" t="s">
        <v>694</v>
      </c>
      <c r="H347" s="5" t="n">
        <v>25.2</v>
      </c>
      <c r="I347" s="6" t="s">
        <v>566</v>
      </c>
      <c r="J347" s="6" t="s">
        <v>796</v>
      </c>
    </row>
    <row r="348" customFormat="false" ht="15" hidden="false" customHeight="false" outlineLevel="0" collapsed="false">
      <c r="A348" s="0" t="s">
        <v>797</v>
      </c>
      <c r="B348" s="0" t="s">
        <v>257</v>
      </c>
      <c r="C348" s="0" t="s">
        <v>273</v>
      </c>
      <c r="D348" s="0" t="s">
        <v>789</v>
      </c>
      <c r="E348" s="0" t="s">
        <v>748</v>
      </c>
      <c r="F348" s="0" t="s">
        <v>143</v>
      </c>
      <c r="G348" s="0" t="s">
        <v>694</v>
      </c>
      <c r="H348" s="5" t="n">
        <v>21.1</v>
      </c>
      <c r="I348" s="6" t="s">
        <v>566</v>
      </c>
      <c r="J348" s="6" t="s">
        <v>798</v>
      </c>
    </row>
    <row r="349" customFormat="false" ht="15" hidden="false" customHeight="false" outlineLevel="0" collapsed="false">
      <c r="A349" s="0" t="s">
        <v>799</v>
      </c>
      <c r="B349" s="0" t="s">
        <v>257</v>
      </c>
      <c r="C349" s="0" t="s">
        <v>273</v>
      </c>
      <c r="D349" s="0" t="s">
        <v>789</v>
      </c>
      <c r="E349" s="0" t="s">
        <v>748</v>
      </c>
      <c r="F349" s="0" t="s">
        <v>143</v>
      </c>
      <c r="G349" s="0" t="s">
        <v>694</v>
      </c>
      <c r="H349" s="5" t="n">
        <v>15</v>
      </c>
      <c r="I349" s="6" t="s">
        <v>566</v>
      </c>
      <c r="J349" s="6" t="s">
        <v>800</v>
      </c>
    </row>
    <row r="350" customFormat="false" ht="15" hidden="false" customHeight="false" outlineLevel="0" collapsed="false">
      <c r="A350" s="0" t="s">
        <v>801</v>
      </c>
      <c r="B350" s="0" t="s">
        <v>257</v>
      </c>
      <c r="C350" s="0" t="s">
        <v>273</v>
      </c>
      <c r="D350" s="0" t="s">
        <v>789</v>
      </c>
      <c r="E350" s="0" t="s">
        <v>748</v>
      </c>
      <c r="F350" s="0" t="s">
        <v>143</v>
      </c>
      <c r="G350" s="0" t="s">
        <v>694</v>
      </c>
      <c r="H350" s="5" t="n">
        <v>0.1</v>
      </c>
      <c r="I350" s="6" t="s">
        <v>591</v>
      </c>
      <c r="J350" s="6" t="s">
        <v>802</v>
      </c>
    </row>
    <row r="351" customFormat="false" ht="15" hidden="false" customHeight="false" outlineLevel="0" collapsed="false">
      <c r="A351" s="0" t="s">
        <v>803</v>
      </c>
      <c r="B351" s="0" t="s">
        <v>257</v>
      </c>
      <c r="C351" s="0" t="s">
        <v>273</v>
      </c>
      <c r="D351" s="0" t="s">
        <v>789</v>
      </c>
      <c r="E351" s="0" t="s">
        <v>748</v>
      </c>
      <c r="F351" s="0" t="s">
        <v>143</v>
      </c>
      <c r="G351" s="0" t="s">
        <v>694</v>
      </c>
      <c r="H351" s="5" t="n">
        <v>0</v>
      </c>
      <c r="I351" s="6" t="s">
        <v>262</v>
      </c>
    </row>
    <row r="352" customFormat="false" ht="15" hidden="false" customHeight="false" outlineLevel="0" collapsed="false">
      <c r="A352" s="0" t="s">
        <v>804</v>
      </c>
      <c r="B352" s="0" t="s">
        <v>257</v>
      </c>
      <c r="C352" s="0" t="s">
        <v>273</v>
      </c>
      <c r="D352" s="0" t="s">
        <v>789</v>
      </c>
      <c r="E352" s="0" t="s">
        <v>748</v>
      </c>
      <c r="F352" s="0" t="s">
        <v>143</v>
      </c>
      <c r="G352" s="0" t="s">
        <v>694</v>
      </c>
      <c r="H352" s="5" t="n">
        <v>0</v>
      </c>
      <c r="I352" s="6" t="s">
        <v>470</v>
      </c>
      <c r="J352" s="6" t="s">
        <v>805</v>
      </c>
    </row>
    <row r="353" customFormat="false" ht="15" hidden="false" customHeight="false" outlineLevel="0" collapsed="false">
      <c r="A353" s="0" t="s">
        <v>806</v>
      </c>
      <c r="B353" s="0" t="s">
        <v>257</v>
      </c>
      <c r="C353" s="0" t="s">
        <v>273</v>
      </c>
      <c r="D353" s="0" t="s">
        <v>789</v>
      </c>
      <c r="E353" s="0" t="s">
        <v>748</v>
      </c>
      <c r="F353" s="0" t="s">
        <v>143</v>
      </c>
      <c r="G353" s="0" t="s">
        <v>694</v>
      </c>
      <c r="H353" s="5"/>
      <c r="J353" s="6" t="s">
        <v>807</v>
      </c>
    </row>
    <row r="354" customFormat="false" ht="15" hidden="false" customHeight="false" outlineLevel="0" collapsed="false">
      <c r="A354" s="0" t="s">
        <v>808</v>
      </c>
      <c r="B354" s="0" t="s">
        <v>257</v>
      </c>
      <c r="C354" s="0" t="s">
        <v>273</v>
      </c>
      <c r="D354" s="0" t="s">
        <v>789</v>
      </c>
      <c r="E354" s="0" t="s">
        <v>748</v>
      </c>
      <c r="F354" s="0" t="s">
        <v>143</v>
      </c>
      <c r="G354" s="0" t="s">
        <v>694</v>
      </c>
      <c r="H354" s="5"/>
      <c r="J354" s="6" t="s">
        <v>809</v>
      </c>
    </row>
    <row r="355" customFormat="false" ht="15" hidden="false" customHeight="false" outlineLevel="0" collapsed="false">
      <c r="A355" s="0" t="s">
        <v>810</v>
      </c>
      <c r="B355" s="0" t="s">
        <v>257</v>
      </c>
      <c r="C355" s="0" t="s">
        <v>273</v>
      </c>
      <c r="D355" s="0" t="s">
        <v>789</v>
      </c>
      <c r="F355" s="0" t="s">
        <v>143</v>
      </c>
      <c r="G355" s="0" t="s">
        <v>694</v>
      </c>
      <c r="H355" s="5"/>
      <c r="J355" s="6" t="s">
        <v>811</v>
      </c>
    </row>
    <row r="356" customFormat="false" ht="15" hidden="false" customHeight="false" outlineLevel="0" collapsed="false">
      <c r="A356" s="0" t="s">
        <v>812</v>
      </c>
      <c r="B356" s="0" t="s">
        <v>257</v>
      </c>
      <c r="C356" s="0" t="s">
        <v>273</v>
      </c>
      <c r="D356" s="0" t="s">
        <v>789</v>
      </c>
      <c r="E356" s="0" t="s">
        <v>748</v>
      </c>
      <c r="F356" s="0" t="s">
        <v>143</v>
      </c>
      <c r="G356" s="0" t="s">
        <v>694</v>
      </c>
      <c r="H356" s="5"/>
      <c r="J356" s="6" t="s">
        <v>813</v>
      </c>
    </row>
    <row r="357" customFormat="false" ht="15" hidden="false" customHeight="false" outlineLevel="0" collapsed="false">
      <c r="A357" s="0" t="s">
        <v>814</v>
      </c>
      <c r="B357" s="0" t="s">
        <v>257</v>
      </c>
      <c r="C357" s="0" t="s">
        <v>273</v>
      </c>
      <c r="D357" s="0" t="s">
        <v>789</v>
      </c>
      <c r="F357" s="0" t="s">
        <v>143</v>
      </c>
      <c r="G357" s="0" t="s">
        <v>694</v>
      </c>
      <c r="H357" s="5"/>
      <c r="J357" s="6" t="s">
        <v>815</v>
      </c>
    </row>
    <row r="358" customFormat="false" ht="15" hidden="false" customHeight="false" outlineLevel="0" collapsed="false">
      <c r="A358" s="0" t="s">
        <v>816</v>
      </c>
      <c r="B358" s="0" t="s">
        <v>257</v>
      </c>
      <c r="C358" s="0" t="s">
        <v>273</v>
      </c>
      <c r="D358" s="0" t="s">
        <v>789</v>
      </c>
      <c r="E358" s="0" t="s">
        <v>748</v>
      </c>
      <c r="F358" s="0" t="s">
        <v>143</v>
      </c>
      <c r="G358" s="0" t="s">
        <v>694</v>
      </c>
      <c r="H358" s="5"/>
      <c r="J358" s="6" t="s">
        <v>817</v>
      </c>
    </row>
    <row r="359" customFormat="false" ht="15" hidden="false" customHeight="false" outlineLevel="0" collapsed="false">
      <c r="A359" s="0" t="s">
        <v>818</v>
      </c>
      <c r="B359" s="0" t="s">
        <v>257</v>
      </c>
      <c r="C359" s="0" t="s">
        <v>273</v>
      </c>
      <c r="D359" s="0" t="s">
        <v>789</v>
      </c>
      <c r="F359" s="0" t="s">
        <v>143</v>
      </c>
      <c r="G359" s="0" t="s">
        <v>694</v>
      </c>
      <c r="H359" s="5"/>
      <c r="J359" s="6" t="s">
        <v>819</v>
      </c>
    </row>
    <row r="360" customFormat="false" ht="15" hidden="false" customHeight="false" outlineLevel="0" collapsed="false">
      <c r="A360" s="0" t="s">
        <v>820</v>
      </c>
      <c r="B360" s="0" t="s">
        <v>257</v>
      </c>
      <c r="C360" s="0" t="s">
        <v>273</v>
      </c>
      <c r="D360" s="0" t="s">
        <v>789</v>
      </c>
      <c r="F360" s="0" t="s">
        <v>143</v>
      </c>
      <c r="G360" s="0" t="s">
        <v>694</v>
      </c>
      <c r="H360" s="5"/>
      <c r="J360" s="6" t="s">
        <v>821</v>
      </c>
    </row>
    <row r="361" customFormat="false" ht="15" hidden="false" customHeight="false" outlineLevel="0" collapsed="false">
      <c r="A361" s="0" t="s">
        <v>822</v>
      </c>
      <c r="B361" s="0" t="s">
        <v>257</v>
      </c>
      <c r="C361" s="0" t="s">
        <v>273</v>
      </c>
      <c r="D361" s="0" t="s">
        <v>789</v>
      </c>
      <c r="F361" s="0" t="s">
        <v>143</v>
      </c>
      <c r="G361" s="0" t="s">
        <v>694</v>
      </c>
      <c r="H361" s="5"/>
      <c r="J361" s="6" t="s">
        <v>821</v>
      </c>
    </row>
    <row r="362" customFormat="false" ht="15" hidden="false" customHeight="false" outlineLevel="0" collapsed="false">
      <c r="A362" s="0" t="s">
        <v>823</v>
      </c>
      <c r="B362" s="0" t="s">
        <v>257</v>
      </c>
      <c r="C362" s="0" t="s">
        <v>273</v>
      </c>
      <c r="D362" s="0" t="s">
        <v>824</v>
      </c>
      <c r="E362" s="0" t="s">
        <v>748</v>
      </c>
      <c r="F362" s="0" t="s">
        <v>143</v>
      </c>
      <c r="G362" s="0" t="s">
        <v>694</v>
      </c>
      <c r="H362" s="5" t="n">
        <v>586.1</v>
      </c>
      <c r="I362" s="6" t="s">
        <v>262</v>
      </c>
      <c r="J362" s="6" t="s">
        <v>825</v>
      </c>
    </row>
    <row r="363" customFormat="false" ht="15" hidden="false" customHeight="false" outlineLevel="0" collapsed="false">
      <c r="A363" s="0" t="s">
        <v>826</v>
      </c>
      <c r="B363" s="0" t="s">
        <v>257</v>
      </c>
      <c r="C363" s="0" t="s">
        <v>273</v>
      </c>
      <c r="D363" s="0" t="s">
        <v>824</v>
      </c>
      <c r="F363" s="0" t="s">
        <v>143</v>
      </c>
      <c r="G363" s="0" t="s">
        <v>694</v>
      </c>
      <c r="H363" s="5" t="n">
        <v>186.9</v>
      </c>
      <c r="I363" s="6" t="s">
        <v>827</v>
      </c>
      <c r="J363" s="6" t="s">
        <v>828</v>
      </c>
    </row>
    <row r="364" customFormat="false" ht="15" hidden="false" customHeight="false" outlineLevel="0" collapsed="false">
      <c r="A364" s="0" t="s">
        <v>829</v>
      </c>
      <c r="B364" s="0" t="s">
        <v>257</v>
      </c>
      <c r="C364" s="0" t="s">
        <v>273</v>
      </c>
      <c r="D364" s="0" t="s">
        <v>824</v>
      </c>
      <c r="E364" s="0" t="s">
        <v>748</v>
      </c>
      <c r="F364" s="0" t="s">
        <v>143</v>
      </c>
      <c r="G364" s="0" t="s">
        <v>694</v>
      </c>
      <c r="H364" s="5" t="n">
        <v>123.5</v>
      </c>
      <c r="I364" s="6" t="s">
        <v>830</v>
      </c>
      <c r="J364" s="6" t="s">
        <v>831</v>
      </c>
    </row>
    <row r="365" customFormat="false" ht="15" hidden="false" customHeight="false" outlineLevel="0" collapsed="false">
      <c r="A365" s="0" t="s">
        <v>832</v>
      </c>
      <c r="B365" s="0" t="s">
        <v>257</v>
      </c>
      <c r="C365" s="0" t="s">
        <v>273</v>
      </c>
      <c r="D365" s="0" t="s">
        <v>824</v>
      </c>
      <c r="E365" s="0" t="s">
        <v>748</v>
      </c>
      <c r="F365" s="0" t="s">
        <v>143</v>
      </c>
      <c r="G365" s="0" t="s">
        <v>694</v>
      </c>
      <c r="H365" s="5" t="n">
        <v>24.9</v>
      </c>
      <c r="I365" s="6" t="s">
        <v>833</v>
      </c>
      <c r="J365" s="6" t="s">
        <v>834</v>
      </c>
    </row>
    <row r="366" customFormat="false" ht="15" hidden="false" customHeight="false" outlineLevel="0" collapsed="false">
      <c r="A366" s="0" t="s">
        <v>835</v>
      </c>
      <c r="B366" s="0" t="s">
        <v>257</v>
      </c>
      <c r="C366" s="0" t="s">
        <v>273</v>
      </c>
      <c r="D366" s="0" t="s">
        <v>824</v>
      </c>
      <c r="E366" s="0" t="s">
        <v>748</v>
      </c>
      <c r="F366" s="0" t="s">
        <v>143</v>
      </c>
      <c r="G366" s="0" t="s">
        <v>694</v>
      </c>
      <c r="H366" s="5" t="n">
        <v>5.2</v>
      </c>
      <c r="I366" s="6" t="s">
        <v>830</v>
      </c>
      <c r="J366" s="6" t="s">
        <v>831</v>
      </c>
    </row>
    <row r="367" customFormat="false" ht="15" hidden="false" customHeight="false" outlineLevel="0" collapsed="false">
      <c r="A367" s="0" t="s">
        <v>836</v>
      </c>
      <c r="B367" s="0" t="s">
        <v>257</v>
      </c>
      <c r="C367" s="0" t="s">
        <v>273</v>
      </c>
      <c r="D367" s="0" t="s">
        <v>824</v>
      </c>
      <c r="E367" s="0" t="s">
        <v>748</v>
      </c>
      <c r="F367" s="0" t="s">
        <v>143</v>
      </c>
      <c r="G367" s="0" t="s">
        <v>694</v>
      </c>
      <c r="H367" s="5"/>
    </row>
    <row r="368" customFormat="false" ht="15" hidden="false" customHeight="false" outlineLevel="0" collapsed="false">
      <c r="A368" s="0" t="s">
        <v>837</v>
      </c>
      <c r="B368" s="0" t="s">
        <v>257</v>
      </c>
      <c r="C368" s="0" t="s">
        <v>273</v>
      </c>
      <c r="D368" s="0" t="s">
        <v>824</v>
      </c>
      <c r="F368" s="0" t="s">
        <v>143</v>
      </c>
      <c r="G368" s="0" t="s">
        <v>694</v>
      </c>
      <c r="H368" s="5"/>
      <c r="J368" s="6" t="s">
        <v>838</v>
      </c>
    </row>
    <row r="369" customFormat="false" ht="15" hidden="false" customHeight="false" outlineLevel="0" collapsed="false">
      <c r="A369" s="0" t="s">
        <v>839</v>
      </c>
      <c r="B369" s="0" t="s">
        <v>257</v>
      </c>
      <c r="C369" s="0" t="s">
        <v>273</v>
      </c>
      <c r="D369" s="0" t="s">
        <v>824</v>
      </c>
      <c r="E369" s="0" t="s">
        <v>748</v>
      </c>
      <c r="F369" s="0" t="s">
        <v>143</v>
      </c>
      <c r="G369" s="0" t="s">
        <v>694</v>
      </c>
      <c r="H369" s="5"/>
    </row>
    <row r="370" customFormat="false" ht="15" hidden="false" customHeight="false" outlineLevel="0" collapsed="false">
      <c r="A370" s="0" t="s">
        <v>840</v>
      </c>
      <c r="B370" s="0" t="s">
        <v>257</v>
      </c>
      <c r="C370" s="0" t="s">
        <v>273</v>
      </c>
      <c r="D370" s="0" t="s">
        <v>841</v>
      </c>
      <c r="E370" s="0" t="s">
        <v>694</v>
      </c>
      <c r="F370" s="0" t="s">
        <v>143</v>
      </c>
      <c r="G370" s="0" t="s">
        <v>694</v>
      </c>
      <c r="H370" s="5" t="n">
        <v>1459.7</v>
      </c>
      <c r="I370" s="6" t="s">
        <v>842</v>
      </c>
      <c r="J370" s="6" t="s">
        <v>843</v>
      </c>
    </row>
    <row r="371" customFormat="false" ht="15" hidden="false" customHeight="false" outlineLevel="0" collapsed="false">
      <c r="A371" s="0" t="s">
        <v>844</v>
      </c>
      <c r="B371" s="0" t="s">
        <v>257</v>
      </c>
      <c r="C371" s="0" t="s">
        <v>273</v>
      </c>
      <c r="D371" s="0" t="s">
        <v>841</v>
      </c>
      <c r="E371" s="0" t="s">
        <v>694</v>
      </c>
      <c r="F371" s="0" t="s">
        <v>143</v>
      </c>
      <c r="G371" s="0" t="s">
        <v>694</v>
      </c>
      <c r="H371" s="5" t="n">
        <v>453</v>
      </c>
      <c r="I371" s="6" t="s">
        <v>845</v>
      </c>
      <c r="J371" s="6" t="s">
        <v>846</v>
      </c>
    </row>
    <row r="372" customFormat="false" ht="15" hidden="false" customHeight="false" outlineLevel="0" collapsed="false">
      <c r="A372" s="0" t="s">
        <v>847</v>
      </c>
      <c r="B372" s="0" t="s">
        <v>257</v>
      </c>
      <c r="C372" s="0" t="s">
        <v>273</v>
      </c>
      <c r="D372" s="0" t="s">
        <v>841</v>
      </c>
      <c r="E372" s="0" t="s">
        <v>694</v>
      </c>
      <c r="F372" s="0" t="s">
        <v>143</v>
      </c>
      <c r="G372" s="0" t="s">
        <v>694</v>
      </c>
      <c r="H372" s="5" t="n">
        <v>259.5</v>
      </c>
      <c r="I372" s="6" t="s">
        <v>343</v>
      </c>
      <c r="J372" s="6" t="s">
        <v>848</v>
      </c>
    </row>
    <row r="373" customFormat="false" ht="15" hidden="false" customHeight="false" outlineLevel="0" collapsed="false">
      <c r="A373" s="0" t="s">
        <v>849</v>
      </c>
      <c r="B373" s="0" t="s">
        <v>257</v>
      </c>
      <c r="C373" s="0" t="s">
        <v>273</v>
      </c>
      <c r="D373" s="0" t="s">
        <v>841</v>
      </c>
      <c r="E373" s="0" t="s">
        <v>694</v>
      </c>
      <c r="F373" s="0" t="s">
        <v>143</v>
      </c>
      <c r="G373" s="0" t="s">
        <v>694</v>
      </c>
      <c r="H373" s="5" t="n">
        <v>67.1</v>
      </c>
      <c r="I373" s="6" t="s">
        <v>348</v>
      </c>
      <c r="J373" s="6" t="s">
        <v>850</v>
      </c>
    </row>
    <row r="374" customFormat="false" ht="15" hidden="false" customHeight="false" outlineLevel="0" collapsed="false">
      <c r="A374" s="0" t="s">
        <v>851</v>
      </c>
      <c r="B374" s="0" t="s">
        <v>257</v>
      </c>
      <c r="C374" s="0" t="s">
        <v>273</v>
      </c>
      <c r="D374" s="0" t="s">
        <v>841</v>
      </c>
      <c r="E374" s="0" t="s">
        <v>694</v>
      </c>
      <c r="F374" s="0" t="s">
        <v>143</v>
      </c>
      <c r="G374" s="0" t="s">
        <v>694</v>
      </c>
      <c r="H374" s="5" t="n">
        <v>2</v>
      </c>
      <c r="I374" s="6" t="s">
        <v>288</v>
      </c>
      <c r="J374" s="6" t="s">
        <v>852</v>
      </c>
    </row>
    <row r="375" customFormat="false" ht="15" hidden="false" customHeight="false" outlineLevel="0" collapsed="false">
      <c r="A375" s="0" t="s">
        <v>853</v>
      </c>
      <c r="B375" s="0" t="s">
        <v>257</v>
      </c>
      <c r="C375" s="0" t="s">
        <v>273</v>
      </c>
      <c r="D375" s="0" t="s">
        <v>841</v>
      </c>
      <c r="E375" s="0" t="s">
        <v>694</v>
      </c>
      <c r="F375" s="0" t="s">
        <v>143</v>
      </c>
      <c r="G375" s="0" t="s">
        <v>694</v>
      </c>
      <c r="H375" s="5" t="n">
        <v>0.7</v>
      </c>
      <c r="I375" s="6" t="s">
        <v>343</v>
      </c>
      <c r="J375" s="6" t="s">
        <v>854</v>
      </c>
    </row>
    <row r="376" customFormat="false" ht="15" hidden="false" customHeight="false" outlineLevel="0" collapsed="false">
      <c r="A376" s="0" t="s">
        <v>855</v>
      </c>
      <c r="B376" s="0" t="s">
        <v>257</v>
      </c>
      <c r="C376" s="0" t="s">
        <v>273</v>
      </c>
      <c r="D376" s="0" t="s">
        <v>841</v>
      </c>
      <c r="E376" s="0" t="s">
        <v>694</v>
      </c>
      <c r="F376" s="0" t="s">
        <v>143</v>
      </c>
      <c r="G376" s="0" t="s">
        <v>694</v>
      </c>
      <c r="H376" s="5"/>
      <c r="J376" s="6" t="s">
        <v>856</v>
      </c>
    </row>
    <row r="377" customFormat="false" ht="15" hidden="false" customHeight="false" outlineLevel="0" collapsed="false">
      <c r="A377" s="0" t="s">
        <v>857</v>
      </c>
      <c r="B377" s="0" t="s">
        <v>257</v>
      </c>
      <c r="C377" s="0" t="s">
        <v>273</v>
      </c>
      <c r="D377" s="0" t="s">
        <v>841</v>
      </c>
      <c r="E377" s="0" t="s">
        <v>694</v>
      </c>
      <c r="F377" s="0" t="s">
        <v>143</v>
      </c>
      <c r="G377" s="0" t="s">
        <v>694</v>
      </c>
      <c r="H377" s="5"/>
      <c r="J377" s="6" t="s">
        <v>858</v>
      </c>
    </row>
    <row r="378" customFormat="false" ht="15" hidden="false" customHeight="false" outlineLevel="0" collapsed="false">
      <c r="A378" s="0" t="s">
        <v>859</v>
      </c>
      <c r="B378" s="0" t="s">
        <v>257</v>
      </c>
      <c r="C378" s="0" t="s">
        <v>273</v>
      </c>
      <c r="D378" s="0" t="s">
        <v>841</v>
      </c>
      <c r="E378" s="0" t="s">
        <v>694</v>
      </c>
      <c r="F378" s="0" t="s">
        <v>143</v>
      </c>
      <c r="G378" s="0" t="s">
        <v>694</v>
      </c>
      <c r="H378" s="5"/>
      <c r="I378" s="6" t="s">
        <v>860</v>
      </c>
      <c r="J378" s="6" t="s">
        <v>861</v>
      </c>
    </row>
    <row r="379" customFormat="false" ht="15" hidden="false" customHeight="false" outlineLevel="0" collapsed="false">
      <c r="A379" s="0" t="s">
        <v>862</v>
      </c>
      <c r="B379" s="0" t="s">
        <v>257</v>
      </c>
      <c r="C379" s="0" t="s">
        <v>273</v>
      </c>
      <c r="D379" s="0" t="s">
        <v>863</v>
      </c>
      <c r="E379" s="0" t="s">
        <v>694</v>
      </c>
      <c r="F379" s="0" t="s">
        <v>143</v>
      </c>
      <c r="G379" s="0" t="s">
        <v>694</v>
      </c>
      <c r="H379" s="5" t="n">
        <v>5859.3</v>
      </c>
      <c r="I379" s="6" t="s">
        <v>670</v>
      </c>
      <c r="J379" s="6" t="s">
        <v>864</v>
      </c>
    </row>
    <row r="380" customFormat="false" ht="15" hidden="false" customHeight="false" outlineLevel="0" collapsed="false">
      <c r="A380" s="0" t="s">
        <v>865</v>
      </c>
      <c r="B380" s="0" t="s">
        <v>257</v>
      </c>
      <c r="C380" s="0" t="s">
        <v>273</v>
      </c>
      <c r="D380" s="0" t="s">
        <v>863</v>
      </c>
      <c r="E380" s="0" t="s">
        <v>694</v>
      </c>
      <c r="F380" s="0" t="s">
        <v>143</v>
      </c>
      <c r="G380" s="0" t="s">
        <v>694</v>
      </c>
      <c r="H380" s="5" t="n">
        <v>111.6</v>
      </c>
      <c r="I380" s="6" t="s">
        <v>343</v>
      </c>
      <c r="J380" s="6" t="s">
        <v>866</v>
      </c>
    </row>
    <row r="381" customFormat="false" ht="15" hidden="false" customHeight="false" outlineLevel="0" collapsed="false">
      <c r="A381" s="0" t="s">
        <v>867</v>
      </c>
      <c r="B381" s="0" t="s">
        <v>257</v>
      </c>
      <c r="C381" s="0" t="s">
        <v>273</v>
      </c>
      <c r="D381" s="0" t="s">
        <v>868</v>
      </c>
      <c r="F381" s="0" t="s">
        <v>143</v>
      </c>
      <c r="G381" s="0" t="s">
        <v>694</v>
      </c>
      <c r="H381" s="5" t="n">
        <v>591</v>
      </c>
      <c r="I381" s="6" t="s">
        <v>869</v>
      </c>
      <c r="J381" s="6" t="s">
        <v>870</v>
      </c>
    </row>
    <row r="382" customFormat="false" ht="15" hidden="false" customHeight="false" outlineLevel="0" collapsed="false">
      <c r="A382" s="0" t="s">
        <v>871</v>
      </c>
      <c r="B382" s="0" t="s">
        <v>257</v>
      </c>
      <c r="C382" s="0" t="s">
        <v>273</v>
      </c>
      <c r="D382" s="0" t="s">
        <v>868</v>
      </c>
      <c r="F382" s="0" t="s">
        <v>143</v>
      </c>
      <c r="G382" s="0" t="s">
        <v>694</v>
      </c>
      <c r="H382" s="5" t="n">
        <v>150.8</v>
      </c>
      <c r="I382" s="6" t="s">
        <v>872</v>
      </c>
      <c r="J382" s="6" t="s">
        <v>873</v>
      </c>
    </row>
    <row r="383" customFormat="false" ht="15" hidden="false" customHeight="false" outlineLevel="0" collapsed="false">
      <c r="A383" s="0" t="s">
        <v>874</v>
      </c>
      <c r="B383" s="0" t="s">
        <v>257</v>
      </c>
      <c r="C383" s="0" t="s">
        <v>273</v>
      </c>
      <c r="D383" s="0" t="s">
        <v>868</v>
      </c>
      <c r="F383" s="0" t="s">
        <v>143</v>
      </c>
      <c r="G383" s="0" t="s">
        <v>694</v>
      </c>
      <c r="H383" s="5" t="n">
        <v>37.7</v>
      </c>
      <c r="I383" s="6" t="s">
        <v>875</v>
      </c>
      <c r="J383" s="6" t="s">
        <v>876</v>
      </c>
    </row>
    <row r="384" customFormat="false" ht="15" hidden="false" customHeight="false" outlineLevel="0" collapsed="false">
      <c r="A384" s="0" t="s">
        <v>877</v>
      </c>
      <c r="B384" s="0" t="s">
        <v>257</v>
      </c>
      <c r="C384" s="0" t="s">
        <v>273</v>
      </c>
      <c r="D384" s="0" t="s">
        <v>868</v>
      </c>
      <c r="F384" s="0" t="s">
        <v>143</v>
      </c>
      <c r="G384" s="0" t="s">
        <v>694</v>
      </c>
      <c r="H384" s="5" t="n">
        <v>35.3</v>
      </c>
      <c r="I384" s="6" t="s">
        <v>57</v>
      </c>
      <c r="J384" s="6" t="s">
        <v>53</v>
      </c>
    </row>
    <row r="385" customFormat="false" ht="15" hidden="false" customHeight="false" outlineLevel="0" collapsed="false">
      <c r="A385" s="0" t="s">
        <v>878</v>
      </c>
      <c r="B385" s="0" t="s">
        <v>257</v>
      </c>
      <c r="C385" s="0" t="s">
        <v>273</v>
      </c>
      <c r="D385" s="0" t="s">
        <v>868</v>
      </c>
      <c r="F385" s="0" t="s">
        <v>143</v>
      </c>
      <c r="G385" s="0" t="s">
        <v>694</v>
      </c>
      <c r="H385" s="5" t="n">
        <v>23.6</v>
      </c>
      <c r="I385" s="6" t="s">
        <v>262</v>
      </c>
    </row>
    <row r="386" customFormat="false" ht="15" hidden="false" customHeight="false" outlineLevel="0" collapsed="false">
      <c r="A386" s="0" t="s">
        <v>879</v>
      </c>
      <c r="B386" s="0" t="s">
        <v>257</v>
      </c>
      <c r="C386" s="0" t="s">
        <v>273</v>
      </c>
      <c r="D386" s="0" t="s">
        <v>868</v>
      </c>
      <c r="F386" s="0" t="s">
        <v>143</v>
      </c>
      <c r="G386" s="0" t="s">
        <v>694</v>
      </c>
      <c r="H386" s="5" t="n">
        <v>11</v>
      </c>
      <c r="I386" s="6" t="s">
        <v>880</v>
      </c>
      <c r="J386" s="6" t="s">
        <v>881</v>
      </c>
    </row>
    <row r="387" customFormat="false" ht="15" hidden="false" customHeight="false" outlineLevel="0" collapsed="false">
      <c r="A387" s="0" t="s">
        <v>882</v>
      </c>
      <c r="B387" s="0" t="s">
        <v>257</v>
      </c>
      <c r="C387" s="0" t="s">
        <v>273</v>
      </c>
      <c r="D387" s="0" t="s">
        <v>868</v>
      </c>
      <c r="F387" s="0" t="s">
        <v>143</v>
      </c>
      <c r="G387" s="0" t="s">
        <v>694</v>
      </c>
      <c r="H387" s="5" t="n">
        <v>0.4</v>
      </c>
      <c r="I387" s="6" t="s">
        <v>883</v>
      </c>
      <c r="J387" s="6" t="s">
        <v>884</v>
      </c>
    </row>
    <row r="388" customFormat="false" ht="15" hidden="false" customHeight="false" outlineLevel="0" collapsed="false">
      <c r="A388" s="0" t="s">
        <v>885</v>
      </c>
      <c r="B388" s="0" t="s">
        <v>257</v>
      </c>
      <c r="C388" s="0" t="s">
        <v>273</v>
      </c>
      <c r="D388" s="0" t="s">
        <v>868</v>
      </c>
      <c r="F388" s="0" t="s">
        <v>143</v>
      </c>
      <c r="G388" s="0" t="s">
        <v>694</v>
      </c>
      <c r="H388" s="5"/>
    </row>
    <row r="389" customFormat="false" ht="15" hidden="false" customHeight="false" outlineLevel="0" collapsed="false">
      <c r="A389" s="0" t="s">
        <v>886</v>
      </c>
      <c r="B389" s="0" t="s">
        <v>257</v>
      </c>
      <c r="C389" s="0" t="s">
        <v>273</v>
      </c>
      <c r="D389" s="0" t="s">
        <v>868</v>
      </c>
      <c r="F389" s="0" t="s">
        <v>143</v>
      </c>
      <c r="G389" s="0" t="s">
        <v>694</v>
      </c>
      <c r="H389" s="5"/>
      <c r="J389" s="6" t="s">
        <v>887</v>
      </c>
    </row>
    <row r="390" customFormat="false" ht="15" hidden="false" customHeight="false" outlineLevel="0" collapsed="false">
      <c r="A390" s="0" t="s">
        <v>888</v>
      </c>
      <c r="B390" s="0" t="s">
        <v>257</v>
      </c>
      <c r="C390" s="0" t="s">
        <v>273</v>
      </c>
      <c r="D390" s="0" t="s">
        <v>889</v>
      </c>
      <c r="F390" s="0" t="s">
        <v>143</v>
      </c>
      <c r="G390" s="0" t="s">
        <v>694</v>
      </c>
      <c r="H390" s="5" t="n">
        <v>8.2</v>
      </c>
      <c r="I390" s="6" t="s">
        <v>890</v>
      </c>
      <c r="J390" s="6" t="s">
        <v>891</v>
      </c>
    </row>
    <row r="391" customFormat="false" ht="15" hidden="false" customHeight="false" outlineLevel="0" collapsed="false">
      <c r="A391" s="0" t="s">
        <v>892</v>
      </c>
      <c r="B391" s="0" t="s">
        <v>257</v>
      </c>
      <c r="C391" s="0" t="s">
        <v>273</v>
      </c>
      <c r="D391" s="0" t="s">
        <v>889</v>
      </c>
      <c r="F391" s="0" t="s">
        <v>143</v>
      </c>
      <c r="G391" s="0" t="s">
        <v>694</v>
      </c>
      <c r="H391" s="5" t="n">
        <v>4.4</v>
      </c>
      <c r="I391" s="6" t="s">
        <v>890</v>
      </c>
      <c r="J391" s="6" t="s">
        <v>891</v>
      </c>
    </row>
    <row r="392" customFormat="false" ht="15" hidden="false" customHeight="false" outlineLevel="0" collapsed="false">
      <c r="A392" s="0" t="s">
        <v>893</v>
      </c>
      <c r="B392" s="0" t="s">
        <v>257</v>
      </c>
      <c r="C392" s="0" t="s">
        <v>273</v>
      </c>
      <c r="D392" s="0" t="s">
        <v>889</v>
      </c>
      <c r="F392" s="0" t="s">
        <v>143</v>
      </c>
      <c r="G392" s="0" t="s">
        <v>694</v>
      </c>
      <c r="H392" s="5" t="n">
        <v>3</v>
      </c>
      <c r="I392" s="6" t="s">
        <v>890</v>
      </c>
      <c r="J392" s="6" t="s">
        <v>894</v>
      </c>
    </row>
    <row r="393" customFormat="false" ht="15" hidden="false" customHeight="false" outlineLevel="0" collapsed="false">
      <c r="A393" s="0" t="s">
        <v>895</v>
      </c>
      <c r="B393" s="0" t="s">
        <v>257</v>
      </c>
      <c r="C393" s="0" t="s">
        <v>273</v>
      </c>
      <c r="D393" s="0" t="s">
        <v>889</v>
      </c>
      <c r="F393" s="0" t="s">
        <v>143</v>
      </c>
      <c r="G393" s="0" t="s">
        <v>694</v>
      </c>
      <c r="H393" s="5" t="n">
        <v>0.8</v>
      </c>
      <c r="I393" s="6" t="s">
        <v>896</v>
      </c>
      <c r="J393" s="6" t="s">
        <v>897</v>
      </c>
    </row>
    <row r="394" customFormat="false" ht="15" hidden="false" customHeight="false" outlineLevel="0" collapsed="false">
      <c r="A394" s="0" t="s">
        <v>898</v>
      </c>
      <c r="B394" s="0" t="s">
        <v>257</v>
      </c>
      <c r="C394" s="0" t="s">
        <v>273</v>
      </c>
      <c r="D394" s="0" t="s">
        <v>889</v>
      </c>
      <c r="F394" s="0" t="s">
        <v>143</v>
      </c>
      <c r="G394" s="0" t="s">
        <v>694</v>
      </c>
      <c r="H394" s="5"/>
      <c r="J394" s="6" t="s">
        <v>899</v>
      </c>
    </row>
    <row r="395" customFormat="false" ht="15" hidden="false" customHeight="false" outlineLevel="0" collapsed="false">
      <c r="A395" s="0" t="s">
        <v>900</v>
      </c>
      <c r="B395" s="0" t="s">
        <v>257</v>
      </c>
      <c r="C395" s="0" t="s">
        <v>273</v>
      </c>
      <c r="D395" s="0" t="s">
        <v>889</v>
      </c>
      <c r="F395" s="0" t="s">
        <v>143</v>
      </c>
      <c r="G395" s="0" t="s">
        <v>694</v>
      </c>
      <c r="H395" s="5"/>
      <c r="J395" s="6" t="s">
        <v>901</v>
      </c>
    </row>
    <row r="396" customFormat="false" ht="15" hidden="false" customHeight="false" outlineLevel="0" collapsed="false">
      <c r="A396" s="0" t="s">
        <v>902</v>
      </c>
      <c r="B396" s="0" t="s">
        <v>257</v>
      </c>
      <c r="C396" s="0" t="s">
        <v>273</v>
      </c>
      <c r="D396" s="0" t="s">
        <v>889</v>
      </c>
      <c r="F396" s="0" t="s">
        <v>143</v>
      </c>
      <c r="G396" s="0" t="s">
        <v>694</v>
      </c>
      <c r="H396" s="5"/>
      <c r="J396" s="6" t="s">
        <v>903</v>
      </c>
    </row>
    <row r="397" customFormat="false" ht="15" hidden="false" customHeight="false" outlineLevel="0" collapsed="false">
      <c r="A397" s="0" t="s">
        <v>904</v>
      </c>
      <c r="B397" s="0" t="s">
        <v>257</v>
      </c>
      <c r="C397" s="0" t="s">
        <v>273</v>
      </c>
      <c r="D397" s="0" t="s">
        <v>889</v>
      </c>
      <c r="F397" s="0" t="s">
        <v>143</v>
      </c>
      <c r="G397" s="0" t="s">
        <v>694</v>
      </c>
      <c r="H397" s="5"/>
      <c r="J397" s="6" t="s">
        <v>905</v>
      </c>
    </row>
    <row r="398" customFormat="false" ht="15" hidden="false" customHeight="false" outlineLevel="0" collapsed="false">
      <c r="A398" s="0" t="s">
        <v>906</v>
      </c>
      <c r="B398" s="0" t="s">
        <v>257</v>
      </c>
      <c r="C398" s="0" t="s">
        <v>273</v>
      </c>
      <c r="D398" s="0" t="s">
        <v>889</v>
      </c>
      <c r="F398" s="0" t="s">
        <v>143</v>
      </c>
      <c r="G398" s="0" t="s">
        <v>694</v>
      </c>
      <c r="H398" s="5"/>
      <c r="J398" s="6" t="s">
        <v>907</v>
      </c>
    </row>
    <row r="399" customFormat="false" ht="15" hidden="false" customHeight="false" outlineLevel="0" collapsed="false">
      <c r="A399" s="0" t="s">
        <v>908</v>
      </c>
      <c r="B399" s="0" t="s">
        <v>257</v>
      </c>
      <c r="C399" s="0" t="s">
        <v>273</v>
      </c>
      <c r="D399" s="0" t="s">
        <v>889</v>
      </c>
      <c r="F399" s="0" t="s">
        <v>143</v>
      </c>
      <c r="G399" s="0" t="s">
        <v>694</v>
      </c>
      <c r="H399" s="5"/>
      <c r="J399" s="6" t="s">
        <v>909</v>
      </c>
    </row>
    <row r="400" customFormat="false" ht="15" hidden="false" customHeight="false" outlineLevel="0" collapsed="false">
      <c r="A400" s="0" t="s">
        <v>910</v>
      </c>
      <c r="B400" s="0" t="s">
        <v>257</v>
      </c>
      <c r="C400" s="0" t="s">
        <v>273</v>
      </c>
      <c r="D400" s="0" t="s">
        <v>889</v>
      </c>
      <c r="F400" s="0" t="s">
        <v>143</v>
      </c>
      <c r="G400" s="0" t="s">
        <v>694</v>
      </c>
      <c r="H400" s="5"/>
      <c r="J400" s="6" t="s">
        <v>911</v>
      </c>
    </row>
    <row r="401" customFormat="false" ht="15" hidden="false" customHeight="false" outlineLevel="0" collapsed="false">
      <c r="A401" s="0" t="s">
        <v>912</v>
      </c>
      <c r="B401" s="0" t="s">
        <v>257</v>
      </c>
      <c r="C401" s="0" t="s">
        <v>273</v>
      </c>
      <c r="D401" s="0" t="s">
        <v>889</v>
      </c>
      <c r="F401" s="0" t="s">
        <v>143</v>
      </c>
      <c r="G401" s="0" t="s">
        <v>694</v>
      </c>
      <c r="H401" s="5"/>
      <c r="J401" s="6" t="s">
        <v>913</v>
      </c>
    </row>
    <row r="402" customFormat="false" ht="15" hidden="false" customHeight="false" outlineLevel="0" collapsed="false">
      <c r="A402" s="0" t="s">
        <v>914</v>
      </c>
      <c r="B402" s="0" t="s">
        <v>257</v>
      </c>
      <c r="C402" s="0" t="s">
        <v>273</v>
      </c>
      <c r="D402" s="0" t="s">
        <v>889</v>
      </c>
      <c r="F402" s="0" t="s">
        <v>143</v>
      </c>
      <c r="G402" s="0" t="s">
        <v>694</v>
      </c>
      <c r="H402" s="5"/>
    </row>
    <row r="403" customFormat="false" ht="15" hidden="false" customHeight="false" outlineLevel="0" collapsed="false">
      <c r="A403" s="0" t="s">
        <v>915</v>
      </c>
      <c r="B403" s="0" t="s">
        <v>257</v>
      </c>
      <c r="C403" s="0" t="s">
        <v>273</v>
      </c>
      <c r="D403" s="0" t="s">
        <v>889</v>
      </c>
      <c r="F403" s="0" t="s">
        <v>143</v>
      </c>
      <c r="G403" s="0" t="s">
        <v>694</v>
      </c>
      <c r="H403" s="5"/>
      <c r="J403" s="6" t="s">
        <v>916</v>
      </c>
    </row>
    <row r="404" customFormat="false" ht="15" hidden="false" customHeight="false" outlineLevel="0" collapsed="false">
      <c r="A404" s="0" t="s">
        <v>917</v>
      </c>
      <c r="B404" s="0" t="s">
        <v>257</v>
      </c>
      <c r="C404" s="0" t="s">
        <v>273</v>
      </c>
      <c r="D404" s="0" t="s">
        <v>889</v>
      </c>
      <c r="F404" s="0" t="s">
        <v>143</v>
      </c>
      <c r="G404" s="0" t="s">
        <v>694</v>
      </c>
      <c r="H404" s="5"/>
    </row>
    <row r="405" customFormat="false" ht="15" hidden="false" customHeight="false" outlineLevel="0" collapsed="false">
      <c r="A405" s="0" t="s">
        <v>918</v>
      </c>
      <c r="B405" s="0" t="s">
        <v>257</v>
      </c>
      <c r="C405" s="0" t="s">
        <v>273</v>
      </c>
      <c r="D405" s="0" t="s">
        <v>919</v>
      </c>
      <c r="F405" s="0" t="s">
        <v>143</v>
      </c>
      <c r="G405" s="0" t="s">
        <v>694</v>
      </c>
      <c r="H405" s="5" t="n">
        <v>246.1</v>
      </c>
      <c r="I405" s="6" t="s">
        <v>920</v>
      </c>
      <c r="J405" s="6" t="s">
        <v>921</v>
      </c>
    </row>
    <row r="406" customFormat="false" ht="15" hidden="false" customHeight="false" outlineLevel="0" collapsed="false">
      <c r="A406" s="0" t="s">
        <v>922</v>
      </c>
      <c r="B406" s="0" t="s">
        <v>257</v>
      </c>
      <c r="C406" s="0" t="s">
        <v>273</v>
      </c>
      <c r="D406" s="0" t="s">
        <v>919</v>
      </c>
      <c r="F406" s="0" t="s">
        <v>143</v>
      </c>
      <c r="G406" s="0" t="s">
        <v>694</v>
      </c>
      <c r="H406" s="5" t="n">
        <v>140.4</v>
      </c>
      <c r="I406" s="6" t="s">
        <v>923</v>
      </c>
      <c r="J406" s="6" t="s">
        <v>924</v>
      </c>
    </row>
    <row r="407" customFormat="false" ht="15" hidden="false" customHeight="false" outlineLevel="0" collapsed="false">
      <c r="A407" s="0" t="s">
        <v>925</v>
      </c>
      <c r="B407" s="0" t="s">
        <v>257</v>
      </c>
      <c r="C407" s="0" t="s">
        <v>273</v>
      </c>
      <c r="D407" s="0" t="s">
        <v>919</v>
      </c>
      <c r="F407" s="0" t="s">
        <v>143</v>
      </c>
      <c r="G407" s="0" t="s">
        <v>694</v>
      </c>
      <c r="H407" s="5"/>
    </row>
    <row r="408" customFormat="false" ht="15" hidden="false" customHeight="false" outlineLevel="0" collapsed="false">
      <c r="A408" s="0" t="s">
        <v>926</v>
      </c>
      <c r="B408" s="0" t="s">
        <v>257</v>
      </c>
      <c r="C408" s="0" t="s">
        <v>273</v>
      </c>
      <c r="D408" s="0" t="s">
        <v>927</v>
      </c>
      <c r="E408" s="0" t="s">
        <v>748</v>
      </c>
      <c r="F408" s="0" t="s">
        <v>143</v>
      </c>
      <c r="G408" s="0" t="s">
        <v>694</v>
      </c>
      <c r="H408" s="5" t="n">
        <v>5024.3</v>
      </c>
      <c r="I408" s="6" t="s">
        <v>262</v>
      </c>
    </row>
    <row r="409" customFormat="false" ht="15" hidden="false" customHeight="false" outlineLevel="0" collapsed="false">
      <c r="A409" s="0" t="s">
        <v>928</v>
      </c>
      <c r="B409" s="0" t="s">
        <v>257</v>
      </c>
      <c r="C409" s="0" t="s">
        <v>273</v>
      </c>
      <c r="D409" s="0" t="s">
        <v>927</v>
      </c>
      <c r="F409" s="0" t="s">
        <v>143</v>
      </c>
      <c r="G409" s="0" t="s">
        <v>694</v>
      </c>
      <c r="H409" s="5" t="n">
        <v>814.6</v>
      </c>
      <c r="I409" s="6" t="s">
        <v>262</v>
      </c>
      <c r="J409" s="6" t="s">
        <v>929</v>
      </c>
    </row>
    <row r="410" customFormat="false" ht="15" hidden="false" customHeight="false" outlineLevel="0" collapsed="false">
      <c r="A410" s="0" t="s">
        <v>930</v>
      </c>
      <c r="B410" s="0" t="s">
        <v>257</v>
      </c>
      <c r="C410" s="0" t="s">
        <v>273</v>
      </c>
      <c r="D410" s="0" t="s">
        <v>927</v>
      </c>
      <c r="E410" s="0" t="s">
        <v>748</v>
      </c>
      <c r="F410" s="0" t="s">
        <v>143</v>
      </c>
      <c r="G410" s="0" t="s">
        <v>694</v>
      </c>
      <c r="H410" s="5" t="n">
        <v>194</v>
      </c>
      <c r="I410" s="6" t="s">
        <v>931</v>
      </c>
      <c r="J410" s="6" t="s">
        <v>932</v>
      </c>
    </row>
    <row r="411" customFormat="false" ht="15" hidden="false" customHeight="false" outlineLevel="0" collapsed="false">
      <c r="A411" s="0" t="s">
        <v>933</v>
      </c>
      <c r="B411" s="0" t="s">
        <v>257</v>
      </c>
      <c r="C411" s="0" t="s">
        <v>273</v>
      </c>
      <c r="D411" s="0" t="s">
        <v>927</v>
      </c>
      <c r="F411" s="0" t="s">
        <v>143</v>
      </c>
      <c r="G411" s="0" t="s">
        <v>694</v>
      </c>
      <c r="H411" s="5" t="n">
        <v>72</v>
      </c>
      <c r="I411" s="6" t="s">
        <v>319</v>
      </c>
      <c r="J411" s="6" t="s">
        <v>934</v>
      </c>
    </row>
    <row r="412" customFormat="false" ht="15" hidden="false" customHeight="false" outlineLevel="0" collapsed="false">
      <c r="A412" s="0" t="s">
        <v>935</v>
      </c>
      <c r="B412" s="0" t="s">
        <v>257</v>
      </c>
      <c r="C412" s="0" t="s">
        <v>273</v>
      </c>
      <c r="D412" s="0" t="s">
        <v>927</v>
      </c>
      <c r="F412" s="0" t="s">
        <v>143</v>
      </c>
      <c r="G412" s="0" t="s">
        <v>694</v>
      </c>
      <c r="H412" s="5" t="n">
        <v>9.5</v>
      </c>
      <c r="I412" s="6" t="s">
        <v>890</v>
      </c>
      <c r="J412" s="6" t="s">
        <v>936</v>
      </c>
    </row>
    <row r="413" customFormat="false" ht="15" hidden="false" customHeight="false" outlineLevel="0" collapsed="false">
      <c r="A413" s="0" t="s">
        <v>937</v>
      </c>
      <c r="B413" s="0" t="s">
        <v>257</v>
      </c>
      <c r="C413" s="0" t="s">
        <v>273</v>
      </c>
      <c r="D413" s="0" t="s">
        <v>927</v>
      </c>
      <c r="E413" s="0" t="s">
        <v>748</v>
      </c>
      <c r="F413" s="0" t="s">
        <v>143</v>
      </c>
      <c r="G413" s="0" t="s">
        <v>694</v>
      </c>
      <c r="H413" s="5" t="n">
        <v>4.5</v>
      </c>
      <c r="I413" s="6" t="s">
        <v>262</v>
      </c>
    </row>
    <row r="414" customFormat="false" ht="15" hidden="false" customHeight="false" outlineLevel="0" collapsed="false">
      <c r="A414" s="0" t="s">
        <v>938</v>
      </c>
      <c r="B414" s="0" t="s">
        <v>257</v>
      </c>
      <c r="C414" s="0" t="s">
        <v>273</v>
      </c>
      <c r="D414" s="0" t="s">
        <v>927</v>
      </c>
      <c r="F414" s="0" t="s">
        <v>143</v>
      </c>
      <c r="G414" s="0" t="s">
        <v>694</v>
      </c>
      <c r="H414" s="5" t="n">
        <v>1.1</v>
      </c>
      <c r="I414" s="6" t="s">
        <v>939</v>
      </c>
      <c r="J414" s="6" t="s">
        <v>940</v>
      </c>
    </row>
    <row r="415" customFormat="false" ht="15" hidden="false" customHeight="false" outlineLevel="0" collapsed="false">
      <c r="A415" s="0" t="s">
        <v>941</v>
      </c>
      <c r="B415" s="0" t="s">
        <v>257</v>
      </c>
      <c r="C415" s="0" t="s">
        <v>273</v>
      </c>
      <c r="D415" s="0" t="s">
        <v>927</v>
      </c>
      <c r="F415" s="0" t="s">
        <v>143</v>
      </c>
      <c r="G415" s="0" t="s">
        <v>694</v>
      </c>
      <c r="H415" s="5" t="n">
        <v>0.8</v>
      </c>
      <c r="I415" s="6" t="s">
        <v>942</v>
      </c>
      <c r="J415" s="6" t="s">
        <v>943</v>
      </c>
    </row>
    <row r="416" customFormat="false" ht="15" hidden="false" customHeight="false" outlineLevel="0" collapsed="false">
      <c r="A416" s="0" t="s">
        <v>944</v>
      </c>
      <c r="B416" s="0" t="s">
        <v>257</v>
      </c>
      <c r="C416" s="0" t="s">
        <v>273</v>
      </c>
      <c r="D416" s="0" t="s">
        <v>927</v>
      </c>
      <c r="F416" s="0" t="s">
        <v>143</v>
      </c>
      <c r="G416" s="0" t="s">
        <v>694</v>
      </c>
      <c r="H416" s="5" t="n">
        <v>0.7</v>
      </c>
      <c r="I416" s="6" t="s">
        <v>939</v>
      </c>
      <c r="J416" s="6" t="s">
        <v>945</v>
      </c>
    </row>
    <row r="417" customFormat="false" ht="15" hidden="false" customHeight="false" outlineLevel="0" collapsed="false">
      <c r="A417" s="0" t="s">
        <v>946</v>
      </c>
      <c r="B417" s="0" t="s">
        <v>257</v>
      </c>
      <c r="C417" s="0" t="s">
        <v>273</v>
      </c>
      <c r="D417" s="0" t="s">
        <v>927</v>
      </c>
      <c r="E417" s="0" t="s">
        <v>588</v>
      </c>
      <c r="F417" s="0" t="s">
        <v>143</v>
      </c>
      <c r="G417" s="0" t="s">
        <v>694</v>
      </c>
      <c r="H417" s="5" t="n">
        <v>0</v>
      </c>
      <c r="I417" s="6" t="s">
        <v>591</v>
      </c>
      <c r="J417" s="6" t="s">
        <v>947</v>
      </c>
    </row>
    <row r="418" customFormat="false" ht="15" hidden="false" customHeight="false" outlineLevel="0" collapsed="false">
      <c r="A418" s="0" t="s">
        <v>948</v>
      </c>
      <c r="B418" s="0" t="s">
        <v>257</v>
      </c>
      <c r="C418" s="0" t="s">
        <v>273</v>
      </c>
      <c r="D418" s="0" t="s">
        <v>927</v>
      </c>
      <c r="F418" s="0" t="s">
        <v>143</v>
      </c>
      <c r="G418" s="0" t="s">
        <v>694</v>
      </c>
      <c r="H418" s="5"/>
      <c r="J418" s="6" t="s">
        <v>949</v>
      </c>
    </row>
    <row r="419" customFormat="false" ht="15" hidden="false" customHeight="false" outlineLevel="0" collapsed="false">
      <c r="A419" s="0" t="s">
        <v>950</v>
      </c>
      <c r="B419" s="0" t="s">
        <v>951</v>
      </c>
      <c r="C419" s="0" t="s">
        <v>952</v>
      </c>
      <c r="D419" s="0" t="s">
        <v>953</v>
      </c>
      <c r="F419" s="0" t="s">
        <v>954</v>
      </c>
      <c r="H419" s="5" t="n">
        <v>1510.1</v>
      </c>
      <c r="I419" s="6" t="s">
        <v>955</v>
      </c>
      <c r="J419" s="6" t="s">
        <v>956</v>
      </c>
    </row>
    <row r="420" customFormat="false" ht="15" hidden="false" customHeight="false" outlineLevel="0" collapsed="false">
      <c r="A420" s="0" t="s">
        <v>957</v>
      </c>
      <c r="B420" s="0" t="s">
        <v>951</v>
      </c>
      <c r="C420" s="0" t="s">
        <v>952</v>
      </c>
      <c r="D420" s="0" t="s">
        <v>953</v>
      </c>
      <c r="F420" s="0" t="s">
        <v>954</v>
      </c>
      <c r="H420" s="5" t="n">
        <v>150.6</v>
      </c>
      <c r="I420" s="6" t="s">
        <v>958</v>
      </c>
      <c r="J420" s="6" t="s">
        <v>959</v>
      </c>
    </row>
    <row r="421" customFormat="false" ht="15" hidden="false" customHeight="false" outlineLevel="0" collapsed="false">
      <c r="A421" s="0" t="s">
        <v>960</v>
      </c>
      <c r="B421" s="0" t="s">
        <v>951</v>
      </c>
      <c r="C421" s="0" t="s">
        <v>952</v>
      </c>
      <c r="D421" s="0" t="s">
        <v>953</v>
      </c>
      <c r="F421" s="0" t="s">
        <v>954</v>
      </c>
      <c r="H421" s="5"/>
      <c r="I421" s="6" t="s">
        <v>961</v>
      </c>
      <c r="J421" s="6" t="s">
        <v>962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8"/>
  </cols>
  <sheetData>
    <row r="1" customFormat="false" ht="15" hidden="false" customHeight="false" outlineLevel="0" collapsed="false">
      <c r="A1" s="7" t="s">
        <v>21</v>
      </c>
      <c r="B1" s="7" t="s">
        <v>963</v>
      </c>
      <c r="C1" s="7" t="s">
        <v>964</v>
      </c>
      <c r="D1" s="7" t="s">
        <v>965</v>
      </c>
    </row>
    <row r="2" customFormat="false" ht="15" hidden="false" customHeight="false" outlineLevel="0" collapsed="false">
      <c r="A2" s="0" t="s">
        <v>261</v>
      </c>
      <c r="B2" s="0" t="n">
        <f aca="false">COUNTIF(Tri!$F$2:$F$421,A2)</f>
        <v>4</v>
      </c>
      <c r="C2" s="5" t="n">
        <f aca="false">SUMIF(Tri!$F$2:$F$421,A2,Tri!$H$2:$H$421)</f>
        <v>457710.6</v>
      </c>
      <c r="D2" s="8" t="n">
        <f aca="false">IFERROR(C2/C$8,0)</f>
        <v>0.521842424795207</v>
      </c>
    </row>
    <row r="3" customFormat="false" ht="15" hidden="false" customHeight="false" outlineLevel="0" collapsed="false">
      <c r="A3" s="0" t="s">
        <v>143</v>
      </c>
      <c r="B3" s="0" t="n">
        <f aca="false">COUNTIF(Tri!$F$2:$F$421,A3)</f>
        <v>249</v>
      </c>
      <c r="C3" s="5" t="n">
        <f aca="false">SUMIF(Tri!$F$2:$F$421,A3,Tri!$H$2:$H$421)</f>
        <v>302927.3</v>
      </c>
      <c r="D3" s="8" t="n">
        <f aca="false">IFERROR(C3/C$8,0)</f>
        <v>0.345371762787808</v>
      </c>
    </row>
    <row r="4" customFormat="false" ht="15" hidden="false" customHeight="false" outlineLevel="0" collapsed="false">
      <c r="A4" s="0" t="s">
        <v>45</v>
      </c>
      <c r="B4" s="0" t="n">
        <f aca="false">COUNTIF(Tri!$F$2:$F$421,A4)</f>
        <v>32</v>
      </c>
      <c r="C4" s="5" t="n">
        <f aca="false">SUMIF(Tri!$F$2:$F$421,A4,Tri!$H$2:$H$421)</f>
        <v>42645.6</v>
      </c>
      <c r="D4" s="8" t="n">
        <f aca="false">IFERROR(C4/C$8,0)</f>
        <v>0.0486208606723254</v>
      </c>
    </row>
    <row r="5" customFormat="false" ht="15" hidden="false" customHeight="false" outlineLevel="0" collapsed="false">
      <c r="A5" s="0" t="s">
        <v>164</v>
      </c>
      <c r="B5" s="0" t="n">
        <f aca="false">COUNTIF(Tri!$F$2:$F$421,A5)</f>
        <v>51</v>
      </c>
      <c r="C5" s="5" t="n">
        <f aca="false">SUMIF(Tri!$F$2:$F$421,A5,Tri!$H$2:$H$421)</f>
        <v>70843</v>
      </c>
      <c r="D5" s="8" t="n">
        <f aca="false">IFERROR(C5/C$8,0)</f>
        <v>0.0807691211428506</v>
      </c>
    </row>
    <row r="6" customFormat="false" ht="15" hidden="false" customHeight="false" outlineLevel="0" collapsed="false">
      <c r="A6" s="0" t="s">
        <v>30</v>
      </c>
      <c r="B6" s="0" t="n">
        <f aca="false">COUNTIF(Tri!$F$2:$F$421,A6)</f>
        <v>81</v>
      </c>
      <c r="C6" s="5" t="n">
        <f aca="false">SUMIF(Tri!$F$2:$F$421,A6,Tri!$H$2:$H$421)</f>
        <v>1317.8</v>
      </c>
      <c r="D6" s="8" t="n">
        <f aca="false">IFERROR(C6/C$8,0)</f>
        <v>0.00150244269500231</v>
      </c>
    </row>
    <row r="7" customFormat="false" ht="15" hidden="false" customHeight="false" outlineLevel="0" collapsed="false">
      <c r="A7" s="0" t="s">
        <v>954</v>
      </c>
      <c r="B7" s="0" t="n">
        <f aca="false">COUNTIF(Tri!$F$2:$F$421,A7)</f>
        <v>3</v>
      </c>
      <c r="C7" s="5" t="n">
        <f aca="false">SUMIF(Tri!$F$2:$F$421,A7,Tri!$H$2:$H$421)</f>
        <v>1660.7</v>
      </c>
      <c r="D7" s="8" t="n">
        <f aca="false">IFERROR(C7/C$8,0)</f>
        <v>0.00189338790680705</v>
      </c>
    </row>
    <row r="8" customFormat="false" ht="15" hidden="false" customHeight="false" outlineLevel="0" collapsed="false">
      <c r="A8" s="9" t="s">
        <v>966</v>
      </c>
      <c r="B8" s="6" t="n">
        <f aca="false">SUM(B2:B7)</f>
        <v>420</v>
      </c>
      <c r="C8" s="5" t="n">
        <f aca="false">SUM(C2:C7)</f>
        <v>877105</v>
      </c>
      <c r="D8"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8"/>
  </cols>
  <sheetData>
    <row r="1" customFormat="false" ht="15" hidden="false" customHeight="false" outlineLevel="0" collapsed="false">
      <c r="A1" s="7" t="s">
        <v>18</v>
      </c>
      <c r="B1" s="7" t="s">
        <v>963</v>
      </c>
      <c r="C1" s="7" t="s">
        <v>964</v>
      </c>
      <c r="D1" s="7" t="s">
        <v>965</v>
      </c>
    </row>
    <row r="2" customFormat="false" ht="15" hidden="false" customHeight="false" outlineLevel="0" collapsed="false">
      <c r="A2" s="0" t="s">
        <v>28</v>
      </c>
      <c r="B2" s="0" t="n">
        <f aca="false">COUNTIF(Tri!$C$2:$C$421,A2)</f>
        <v>81</v>
      </c>
      <c r="C2" s="5" t="n">
        <f aca="false">SUMIF(Tri!$C$2:$C$421,A2,Tri!$H$2:$H$421)</f>
        <v>1317.8</v>
      </c>
      <c r="D2" s="8" t="n">
        <f aca="false">IFERROR(C2/C$10,0)</f>
        <v>0.00150244269500231</v>
      </c>
    </row>
    <row r="3" customFormat="false" ht="15" hidden="false" customHeight="false" outlineLevel="0" collapsed="false">
      <c r="A3" s="0" t="s">
        <v>42</v>
      </c>
      <c r="B3" s="0" t="n">
        <f aca="false">COUNTIF(Tri!$C$2:$C$421,A3)</f>
        <v>18</v>
      </c>
      <c r="C3" s="5" t="n">
        <f aca="false">SUMIF(Tri!$C$2:$C$421,A3,Tri!$H$2:$H$421)</f>
        <v>193247.7</v>
      </c>
      <c r="D3" s="8" t="n">
        <f aca="false">IFERROR(C3/C$10,0)</f>
        <v>0.220324476544997</v>
      </c>
    </row>
    <row r="4" customFormat="false" ht="15" hidden="false" customHeight="false" outlineLevel="0" collapsed="false">
      <c r="A4" s="0" t="s">
        <v>179</v>
      </c>
      <c r="B4" s="0" t="n">
        <f aca="false">COUNTIF(Tri!$C$2:$C$421,A4)</f>
        <v>30</v>
      </c>
      <c r="C4" s="5" t="n">
        <f aca="false">SUMIF(Tri!$C$2:$C$421,A4,Tri!$H$2:$H$421)</f>
        <v>41750.6</v>
      </c>
      <c r="D4" s="8" t="n">
        <f aca="false">IFERROR(C4/C$10,0)</f>
        <v>0.0476004583259701</v>
      </c>
    </row>
    <row r="5" customFormat="false" ht="15" hidden="false" customHeight="false" outlineLevel="0" collapsed="false">
      <c r="A5" s="0" t="s">
        <v>258</v>
      </c>
      <c r="B5" s="0" t="n">
        <f aca="false">COUNTIF(Tri!$C$2:$C$421,A5)</f>
        <v>10</v>
      </c>
      <c r="C5" s="5" t="n">
        <f aca="false">SUMIF(Tri!$C$2:$C$421,A5,Tri!$H$2:$H$421)</f>
        <v>140187.2</v>
      </c>
      <c r="D5" s="8" t="n">
        <f aca="false">IFERROR(C5/C$10,0)</f>
        <v>0.159829438892721</v>
      </c>
    </row>
    <row r="6" customFormat="false" ht="15" hidden="false" customHeight="false" outlineLevel="0" collapsed="false">
      <c r="A6" s="0" t="s">
        <v>295</v>
      </c>
      <c r="B6" s="0" t="n">
        <f aca="false">COUNTIF(Tri!$C$2:$C$421,A6)</f>
        <v>51</v>
      </c>
      <c r="C6" s="5" t="n">
        <f aca="false">SUMIF(Tri!$C$2:$C$421,A6,Tri!$H$2:$H$421)</f>
        <v>106451.9</v>
      </c>
      <c r="D6" s="8" t="n">
        <f aca="false">IFERROR(C6/C$10,0)</f>
        <v>0.121367339144116</v>
      </c>
    </row>
    <row r="7" customFormat="false" ht="15" hidden="false" customHeight="false" outlineLevel="0" collapsed="false">
      <c r="A7" s="0" t="s">
        <v>419</v>
      </c>
      <c r="B7" s="0" t="n">
        <f aca="false">COUNTIF(Tri!$C$2:$C$421,A7)</f>
        <v>108</v>
      </c>
      <c r="C7" s="5" t="n">
        <f aca="false">SUMIF(Tri!$C$2:$C$421,A7,Tri!$H$2:$H$421)</f>
        <v>324391</v>
      </c>
      <c r="D7" s="8" t="n">
        <f aca="false">IFERROR(C7/C$10,0)</f>
        <v>0.369842835236374</v>
      </c>
    </row>
    <row r="8" customFormat="false" ht="15" hidden="false" customHeight="false" outlineLevel="0" collapsed="false">
      <c r="A8" s="0" t="s">
        <v>273</v>
      </c>
      <c r="B8" s="0" t="n">
        <f aca="false">COUNTIF(Tri!$C$2:$C$421,A8)</f>
        <v>119</v>
      </c>
      <c r="C8" s="5" t="n">
        <f aca="false">SUMIF(Tri!$C$2:$C$421,A8,Tri!$H$2:$H$421)</f>
        <v>68098.1</v>
      </c>
      <c r="D8" s="8" t="n">
        <f aca="false">IFERROR(C8/C$10,0)</f>
        <v>0.0776396212540118</v>
      </c>
    </row>
    <row r="9" customFormat="false" ht="15" hidden="false" customHeight="false" outlineLevel="0" collapsed="false">
      <c r="A9" s="0" t="s">
        <v>952</v>
      </c>
      <c r="B9" s="0" t="n">
        <f aca="false">COUNTIF(Tri!$C$2:$C$421,A9)</f>
        <v>3</v>
      </c>
      <c r="C9" s="5" t="n">
        <f aca="false">SUMIF(Tri!$C$2:$C$421,A9,Tri!$H$2:$H$421)</f>
        <v>1660.7</v>
      </c>
      <c r="D9" s="8" t="n">
        <f aca="false">IFERROR(C9/C$10,0)</f>
        <v>0.00189338790680705</v>
      </c>
    </row>
    <row r="10" customFormat="false" ht="15" hidden="false" customHeight="false" outlineLevel="0" collapsed="false">
      <c r="A10" s="9" t="s">
        <v>966</v>
      </c>
      <c r="B10" s="6" t="n">
        <f aca="false">SUM(B2:B9)</f>
        <v>420</v>
      </c>
      <c r="C10" s="5" t="n">
        <f aca="false">SUM(C2:C9)</f>
        <v>877105</v>
      </c>
      <c r="D10"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8"/>
  </cols>
  <sheetData>
    <row r="1" customFormat="false" ht="15" hidden="false" customHeight="false" outlineLevel="0" collapsed="false">
      <c r="A1" s="7" t="s">
        <v>967</v>
      </c>
      <c r="B1" s="7" t="s">
        <v>963</v>
      </c>
      <c r="C1" s="7" t="s">
        <v>964</v>
      </c>
      <c r="D1" s="7" t="s">
        <v>965</v>
      </c>
    </row>
    <row r="2" customFormat="false" ht="15" hidden="false" customHeight="false" outlineLevel="0" collapsed="false">
      <c r="A2" s="0" t="s">
        <v>276</v>
      </c>
      <c r="B2" s="0" t="n">
        <f aca="false">COUNTIF(Tri!$G$2:$G$421,A2)</f>
        <v>109</v>
      </c>
      <c r="C2" s="5" t="n">
        <f aca="false">SUMIF(Tri!$G$2:$G$421,A2,Tri!$H$2:$H$421)</f>
        <v>84182.8</v>
      </c>
      <c r="D2" s="8" t="n">
        <f aca="false">IFERROR(C2/C$6,0)</f>
        <v>0.230943476146099</v>
      </c>
    </row>
    <row r="3" customFormat="false" ht="15" hidden="false" customHeight="false" outlineLevel="0" collapsed="false">
      <c r="A3" s="0" t="s">
        <v>144</v>
      </c>
      <c r="B3" s="0" t="n">
        <f aca="false">COUNTIF(Tri!$G$2:$G$421,A3)</f>
        <v>23</v>
      </c>
      <c r="C3" s="5" t="n">
        <f aca="false">SUMIF(Tri!$G$2:$G$421,A3,Tri!$H$2:$H$421)</f>
        <v>193108.5</v>
      </c>
      <c r="D3" s="8" t="n">
        <f aca="false">IFERROR(C3/C$6,0)</f>
        <v>0.529765560938327</v>
      </c>
    </row>
    <row r="4" customFormat="false" ht="15" hidden="false" customHeight="false" outlineLevel="0" collapsed="false">
      <c r="A4" s="0" t="s">
        <v>294</v>
      </c>
      <c r="B4" s="0" t="n">
        <f aca="false">COUNTIF(Tri!$G$2:$G$421,A4)</f>
        <v>50</v>
      </c>
      <c r="C4" s="5" t="n">
        <f aca="false">SUMIF(Tri!$G$2:$G$421,A4,Tri!$H$2:$H$421)</f>
        <v>21757.5</v>
      </c>
      <c r="D4" s="8" t="n">
        <f aca="false">IFERROR(C4/C$6,0)</f>
        <v>0.0596885905701492</v>
      </c>
    </row>
    <row r="5" customFormat="false" ht="15" hidden="false" customHeight="false" outlineLevel="0" collapsed="false">
      <c r="A5" s="0" t="s">
        <v>694</v>
      </c>
      <c r="B5" s="0" t="n">
        <f aca="false">COUNTIF(Tri!$G$2:$G$421,A5)</f>
        <v>116</v>
      </c>
      <c r="C5" s="5" t="n">
        <f aca="false">SUMIF(Tri!$G$2:$G$421,A5,Tri!$H$2:$H$421)</f>
        <v>65468.1</v>
      </c>
      <c r="D5" s="8" t="n">
        <f aca="false">IFERROR(C5/C$6,0)</f>
        <v>0.179602372345425</v>
      </c>
    </row>
    <row r="6" customFormat="false" ht="15" hidden="false" customHeight="false" outlineLevel="0" collapsed="false">
      <c r="A6" s="9" t="s">
        <v>966</v>
      </c>
      <c r="B6" s="6" t="n">
        <f aca="false">SUM(B2:B5)</f>
        <v>298</v>
      </c>
      <c r="C6" s="5" t="n">
        <f aca="false">SUM(C2:C5)</f>
        <v>364516.9</v>
      </c>
      <c r="D6" s="8"/>
    </row>
    <row r="8" customFormat="false" ht="15" hidden="false" customHeight="false" outlineLevel="0" collapsed="false">
      <c r="A8" s="0" t="s">
        <v>968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2" style="0" width="16"/>
  </cols>
  <sheetData>
    <row r="1" customFormat="false" ht="41.75" hidden="false" customHeight="false" outlineLevel="0" collapsed="false">
      <c r="A1" s="4" t="s">
        <v>20</v>
      </c>
      <c r="B1" s="4" t="s">
        <v>969</v>
      </c>
      <c r="C1" s="4" t="s">
        <v>970</v>
      </c>
      <c r="D1" s="4" t="s">
        <v>963</v>
      </c>
      <c r="E1" s="4" t="s">
        <v>971</v>
      </c>
      <c r="F1" s="4" t="s">
        <v>972</v>
      </c>
      <c r="G1" s="4" t="s">
        <v>973</v>
      </c>
    </row>
    <row r="2" customFormat="false" ht="15" hidden="false" customHeight="false" outlineLevel="0" collapsed="false">
      <c r="A2" s="0" t="s">
        <v>974</v>
      </c>
      <c r="B2" s="5" t="n">
        <v>206.3</v>
      </c>
      <c r="C2" s="5"/>
      <c r="D2" s="0" t="n">
        <v>1</v>
      </c>
      <c r="E2" s="0" t="n">
        <v>0</v>
      </c>
      <c r="F2" s="0" t="n">
        <v>0</v>
      </c>
      <c r="G2" s="5" t="n">
        <v>242.838</v>
      </c>
    </row>
    <row r="3" customFormat="false" ht="15" hidden="false" customHeight="false" outlineLevel="0" collapsed="false">
      <c r="A3" s="0" t="s">
        <v>975</v>
      </c>
      <c r="B3" s="5" t="n">
        <v>105.1</v>
      </c>
      <c r="C3" s="5" t="n">
        <v>-26.1</v>
      </c>
      <c r="D3" s="0" t="n">
        <v>0</v>
      </c>
      <c r="E3" s="0" t="n">
        <v>0</v>
      </c>
      <c r="F3" s="0" t="n">
        <v>0</v>
      </c>
      <c r="G3" s="5" t="n">
        <v>0</v>
      </c>
    </row>
    <row r="4" customFormat="false" ht="15" hidden="false" customHeight="false" outlineLevel="0" collapsed="false">
      <c r="A4" s="0" t="s">
        <v>976</v>
      </c>
      <c r="B4" s="5" t="n">
        <v>43.7</v>
      </c>
      <c r="C4" s="5" t="n">
        <v>-8</v>
      </c>
      <c r="D4" s="0" t="n">
        <v>10</v>
      </c>
      <c r="E4" s="0" t="n">
        <v>3</v>
      </c>
      <c r="F4" s="0" t="n">
        <v>7</v>
      </c>
      <c r="G4" s="5" t="n">
        <v>20.553</v>
      </c>
    </row>
    <row r="5" customFormat="false" ht="15" hidden="false" customHeight="false" outlineLevel="0" collapsed="false">
      <c r="A5" s="0" t="s">
        <v>977</v>
      </c>
      <c r="B5" s="5" t="n">
        <v>25.6</v>
      </c>
      <c r="C5" s="5" t="n">
        <v>-0.3</v>
      </c>
      <c r="D5" s="0" t="n">
        <v>22</v>
      </c>
      <c r="E5" s="0" t="n">
        <v>0</v>
      </c>
      <c r="F5" s="0" t="n">
        <v>22</v>
      </c>
      <c r="G5" s="5" t="n">
        <v>22.897</v>
      </c>
    </row>
    <row r="6" customFormat="false" ht="15" hidden="false" customHeight="false" outlineLevel="0" collapsed="false">
      <c r="A6" s="0" t="s">
        <v>978</v>
      </c>
      <c r="B6" s="5" t="n">
        <v>19.2</v>
      </c>
      <c r="C6" s="5"/>
      <c r="D6" s="0" t="n">
        <v>9</v>
      </c>
      <c r="E6" s="0" t="n">
        <v>0</v>
      </c>
      <c r="F6" s="0" t="n">
        <v>9</v>
      </c>
      <c r="G6" s="5" t="n">
        <v>20.203</v>
      </c>
    </row>
    <row r="7" customFormat="false" ht="15" hidden="false" customHeight="false" outlineLevel="0" collapsed="false">
      <c r="A7" s="0" t="s">
        <v>979</v>
      </c>
      <c r="B7" s="5" t="n">
        <v>2.2</v>
      </c>
      <c r="C7" s="5" t="n">
        <v>-2.2</v>
      </c>
      <c r="D7" s="0" t="n">
        <v>3</v>
      </c>
      <c r="E7" s="0" t="n">
        <v>3</v>
      </c>
      <c r="F7" s="0" t="n">
        <v>0</v>
      </c>
      <c r="G7" s="5" t="n">
        <v>2.675</v>
      </c>
    </row>
    <row r="8" customFormat="false" ht="15" hidden="false" customHeight="false" outlineLevel="0" collapsed="false">
      <c r="A8" s="0" t="s">
        <v>980</v>
      </c>
      <c r="B8" s="5" t="n">
        <v>1.9</v>
      </c>
      <c r="C8" s="5" t="n">
        <v>-1.9</v>
      </c>
      <c r="D8" s="0" t="n">
        <v>12</v>
      </c>
      <c r="E8" s="0" t="n">
        <v>12</v>
      </c>
      <c r="F8" s="0" t="n">
        <v>0</v>
      </c>
      <c r="G8" s="5" t="n">
        <v>3.624</v>
      </c>
    </row>
    <row r="9" customFormat="false" ht="15" hidden="false" customHeight="false" outlineLevel="0" collapsed="false">
      <c r="A9" s="0" t="s">
        <v>981</v>
      </c>
      <c r="B9" s="5" t="n">
        <v>3.1</v>
      </c>
      <c r="C9" s="5" t="n">
        <v>-6.4</v>
      </c>
      <c r="D9" s="0" t="n">
        <v>9</v>
      </c>
      <c r="E9" s="0" t="n">
        <v>9</v>
      </c>
      <c r="F9" s="0" t="n">
        <v>0</v>
      </c>
      <c r="G9" s="5" t="n">
        <v>3.862</v>
      </c>
    </row>
    <row r="10" customFormat="false" ht="15" hidden="false" customHeight="false" outlineLevel="0" collapsed="false">
      <c r="A10" s="0" t="s">
        <v>982</v>
      </c>
      <c r="B10" s="5" t="n">
        <v>1.8</v>
      </c>
      <c r="C10" s="5" t="n">
        <v>-1.8</v>
      </c>
      <c r="D10" s="0" t="n">
        <v>18</v>
      </c>
      <c r="E10" s="0" t="n">
        <v>18</v>
      </c>
      <c r="F10" s="0" t="n">
        <v>0</v>
      </c>
      <c r="G10" s="5" t="n">
        <v>2.216</v>
      </c>
    </row>
    <row r="11" customFormat="false" ht="15" hidden="false" customHeight="false" outlineLevel="0" collapsed="false">
      <c r="A11" s="0" t="s">
        <v>983</v>
      </c>
      <c r="B11" s="5" t="n">
        <v>4.5</v>
      </c>
      <c r="C11" s="5" t="n">
        <v>-4.5</v>
      </c>
      <c r="D11" s="0" t="n">
        <v>19</v>
      </c>
      <c r="E11" s="0" t="n">
        <v>19</v>
      </c>
      <c r="F11" s="0" t="n">
        <v>0</v>
      </c>
      <c r="G11" s="5" t="n">
        <v>6.586</v>
      </c>
    </row>
    <row r="12" customFormat="false" ht="15" hidden="false" customHeight="false" outlineLevel="0" collapsed="false">
      <c r="A12" s="0" t="s">
        <v>984</v>
      </c>
      <c r="B12" s="5" t="n">
        <v>1.1</v>
      </c>
      <c r="C12" s="5"/>
      <c r="D12" s="0" t="n">
        <v>8</v>
      </c>
      <c r="E12" s="0" t="n">
        <v>0</v>
      </c>
      <c r="F12" s="0" t="n">
        <v>8</v>
      </c>
      <c r="G12" s="5" t="n">
        <v>1.346</v>
      </c>
    </row>
    <row r="13" customFormat="false" ht="15" hidden="false" customHeight="false" outlineLevel="0" collapsed="false">
      <c r="A13" s="0" t="s">
        <v>985</v>
      </c>
      <c r="B13" s="5" t="n">
        <v>1</v>
      </c>
      <c r="C13" s="5" t="n">
        <v>-1</v>
      </c>
      <c r="D13" s="0" t="n">
        <v>2</v>
      </c>
      <c r="E13" s="0" t="n">
        <v>2</v>
      </c>
      <c r="F13" s="0" t="n">
        <v>0</v>
      </c>
      <c r="G13" s="5" t="n">
        <v>1.382</v>
      </c>
    </row>
    <row r="14" customFormat="false" ht="15" hidden="false" customHeight="false" outlineLevel="0" collapsed="false">
      <c r="A14" s="0" t="s">
        <v>986</v>
      </c>
      <c r="B14" s="5" t="n">
        <v>1.6</v>
      </c>
      <c r="C14" s="5"/>
      <c r="D14" s="0" t="n">
        <v>3</v>
      </c>
      <c r="E14" s="0" t="n">
        <v>0</v>
      </c>
      <c r="F14" s="0" t="n">
        <v>3</v>
      </c>
      <c r="G14" s="5" t="n">
        <v>1.744</v>
      </c>
    </row>
    <row r="15" customFormat="false" ht="15" hidden="false" customHeight="false" outlineLevel="0" collapsed="false">
      <c r="A15" s="0" t="s">
        <v>44</v>
      </c>
      <c r="B15" s="5" t="n">
        <v>58</v>
      </c>
      <c r="C15" s="5" t="n">
        <v>-48</v>
      </c>
      <c r="D15" s="0" t="n">
        <v>32</v>
      </c>
      <c r="E15" s="0" t="n">
        <v>32</v>
      </c>
      <c r="F15" s="0" t="n">
        <v>0</v>
      </c>
      <c r="G15" s="5" t="n">
        <v>42.646</v>
      </c>
    </row>
    <row r="16" customFormat="false" ht="15" hidden="false" customHeight="false" outlineLevel="0" collapsed="false">
      <c r="A16" s="0" t="s">
        <v>987</v>
      </c>
      <c r="B16" s="5" t="n">
        <v>8.8</v>
      </c>
      <c r="C16" s="5"/>
      <c r="D16" s="0" t="n">
        <v>2</v>
      </c>
      <c r="E16" s="0" t="n">
        <v>0</v>
      </c>
      <c r="F16" s="0" t="n">
        <v>2</v>
      </c>
      <c r="G16" s="5" t="n">
        <v>9.253</v>
      </c>
    </row>
    <row r="17" customFormat="false" ht="15" hidden="false" customHeight="false" outlineLevel="0" collapsed="false">
      <c r="A17" s="0" t="s">
        <v>988</v>
      </c>
      <c r="B17" s="5" t="n">
        <v>87.3</v>
      </c>
      <c r="C17" s="5"/>
      <c r="D17" s="0" t="n">
        <v>10</v>
      </c>
      <c r="E17" s="0" t="n">
        <v>9</v>
      </c>
      <c r="F17" s="0" t="n">
        <v>0</v>
      </c>
      <c r="G17" s="5" t="n">
        <v>140.187</v>
      </c>
    </row>
    <row r="18" customFormat="false" ht="15" hidden="false" customHeight="false" outlineLevel="0" collapsed="false">
      <c r="A18" s="0" t="s">
        <v>989</v>
      </c>
      <c r="B18" s="5" t="n">
        <v>57.4</v>
      </c>
      <c r="C18" s="5"/>
      <c r="D18" s="0" t="n">
        <v>1</v>
      </c>
      <c r="E18" s="0" t="n">
        <v>0</v>
      </c>
      <c r="F18" s="0" t="n">
        <v>0</v>
      </c>
      <c r="G18" s="5" t="n">
        <v>84.694</v>
      </c>
    </row>
    <row r="19" customFormat="false" ht="15" hidden="false" customHeight="false" outlineLevel="0" collapsed="false">
      <c r="A19" s="0" t="s">
        <v>300</v>
      </c>
      <c r="B19" s="5" t="n">
        <v>10.3</v>
      </c>
      <c r="C19" s="5" t="n">
        <v>-10.3</v>
      </c>
      <c r="D19" s="0" t="n">
        <v>15</v>
      </c>
      <c r="E19" s="0" t="n">
        <v>15</v>
      </c>
      <c r="F19" s="0" t="n">
        <v>0</v>
      </c>
      <c r="G19" s="5" t="n">
        <v>13.616</v>
      </c>
    </row>
    <row r="20" customFormat="false" ht="15" hidden="false" customHeight="false" outlineLevel="0" collapsed="false">
      <c r="A20" s="0" t="s">
        <v>694</v>
      </c>
      <c r="B20" s="5" t="n">
        <v>42.9</v>
      </c>
      <c r="C20" s="5"/>
      <c r="D20" s="0" t="n">
        <v>19</v>
      </c>
      <c r="E20" s="0" t="n">
        <v>18</v>
      </c>
      <c r="F20" s="0" t="n">
        <v>0</v>
      </c>
      <c r="G20" s="5" t="n">
        <v>11.642</v>
      </c>
    </row>
    <row r="21" customFormat="false" ht="15" hidden="false" customHeight="false" outlineLevel="0" collapsed="false">
      <c r="A21" s="0" t="s">
        <v>748</v>
      </c>
      <c r="B21" s="5" t="n">
        <v>6.5</v>
      </c>
      <c r="C21" s="5" t="n">
        <v>-6.7</v>
      </c>
      <c r="D21" s="0" t="n">
        <v>27</v>
      </c>
      <c r="E21" s="0" t="n">
        <v>27</v>
      </c>
      <c r="F21" s="0" t="n">
        <v>0</v>
      </c>
      <c r="G21" s="5" t="n">
        <v>8.213</v>
      </c>
    </row>
    <row r="22" customFormat="false" ht="15" hidden="false" customHeight="false" outlineLevel="0" collapsed="false">
      <c r="A22" s="0" t="s">
        <v>333</v>
      </c>
      <c r="B22" s="5" t="n">
        <v>13.2</v>
      </c>
      <c r="C22" s="5" t="n">
        <v>-13.5</v>
      </c>
      <c r="D22" s="0" t="n">
        <v>45</v>
      </c>
      <c r="E22" s="0" t="n">
        <v>45</v>
      </c>
      <c r="F22" s="0" t="n">
        <v>0</v>
      </c>
      <c r="G22" s="5" t="n">
        <v>7.336</v>
      </c>
    </row>
    <row r="23" customFormat="false" ht="15" hidden="false" customHeight="false" outlineLevel="0" collapsed="false">
      <c r="A23" s="0" t="s">
        <v>770</v>
      </c>
      <c r="B23" s="5" t="n">
        <v>37.9</v>
      </c>
      <c r="C23" s="5" t="n">
        <v>-32.45</v>
      </c>
      <c r="D23" s="0" t="n">
        <v>5</v>
      </c>
      <c r="E23" s="0" t="n">
        <v>5</v>
      </c>
      <c r="F23" s="0" t="n">
        <v>0</v>
      </c>
      <c r="G23" s="5" t="n">
        <v>0.478</v>
      </c>
    </row>
    <row r="24" customFormat="false" ht="15" hidden="false" customHeight="false" outlineLevel="0" collapsed="false">
      <c r="A24" s="0" t="s">
        <v>761</v>
      </c>
      <c r="B24" s="5" t="n">
        <v>17.1</v>
      </c>
      <c r="C24" s="5" t="n">
        <v>-12.05</v>
      </c>
      <c r="D24" s="0" t="n">
        <v>7</v>
      </c>
      <c r="E24" s="0" t="n">
        <v>7</v>
      </c>
      <c r="F24" s="0" t="n">
        <v>0</v>
      </c>
      <c r="G24" s="5" t="n">
        <v>19.28</v>
      </c>
    </row>
    <row r="25" customFormat="false" ht="15" hidden="false" customHeight="false" outlineLevel="0" collapsed="false">
      <c r="A25" s="0" t="s">
        <v>758</v>
      </c>
      <c r="B25" s="5" t="n">
        <v>20.8</v>
      </c>
      <c r="C25" s="5" t="n">
        <v>-20.4</v>
      </c>
      <c r="D25" s="0" t="n">
        <v>2</v>
      </c>
      <c r="E25" s="0" t="n">
        <v>2</v>
      </c>
      <c r="F25" s="0" t="n">
        <v>0</v>
      </c>
      <c r="G25" s="5" t="n">
        <v>21.418</v>
      </c>
    </row>
    <row r="26" customFormat="false" ht="15" hidden="false" customHeight="false" outlineLevel="0" collapsed="false">
      <c r="A26" s="0" t="s">
        <v>990</v>
      </c>
      <c r="B26" s="5"/>
      <c r="C26" s="5"/>
      <c r="D26" s="0" t="n">
        <v>81</v>
      </c>
      <c r="E26" s="0" t="n">
        <v>0</v>
      </c>
      <c r="F26" s="0" t="n">
        <v>0</v>
      </c>
      <c r="G26" s="5" t="n">
        <v>1.318</v>
      </c>
    </row>
    <row r="27" customFormat="false" ht="15" hidden="false" customHeight="false" outlineLevel="0" collapsed="false">
      <c r="A27" s="0" t="s">
        <v>991</v>
      </c>
      <c r="B27" s="5"/>
      <c r="C27" s="5"/>
      <c r="D27" s="0" t="n">
        <v>55</v>
      </c>
      <c r="E27" s="0" t="n">
        <v>55</v>
      </c>
      <c r="F27" s="0" t="n">
        <v>0</v>
      </c>
      <c r="G27" s="5" t="n">
        <v>185.438</v>
      </c>
    </row>
    <row r="28" customFormat="false" ht="15" hidden="false" customHeight="false" outlineLevel="0" collapsed="false">
      <c r="A28" s="0" t="s">
        <v>992</v>
      </c>
      <c r="B28" s="5"/>
      <c r="C28" s="5"/>
      <c r="D28" s="0" t="n">
        <v>3</v>
      </c>
      <c r="E28" s="0" t="n">
        <v>0</v>
      </c>
      <c r="F28" s="0" t="n">
        <v>0</v>
      </c>
      <c r="G28" s="5" t="n">
        <v>1.661</v>
      </c>
    </row>
    <row r="30" customFormat="false" ht="15" hidden="false" customHeight="false" outlineLevel="0" collapsed="false">
      <c r="A30" s="0" t="s">
        <v>993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2026-10-20T17:06:48Z</dcterms:created>
  <dc:creator>openpyxl</dc:creator>
  <dc:description/>
  <dc:language>en-US</dc:language>
  <cp:lastModifiedBy/>
  <dcterms:modified xsi:type="dcterms:W3CDTF">2026-10-20T17:06:49Z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