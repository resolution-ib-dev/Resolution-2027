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ri des prélèvements" sheetId="1" state="visible" r:id="rId3"/>
    <sheet name="Synthèse par sort" sheetId="2" state="visible" r:id="rId4"/>
    <sheet name="Synthèse par nature" sheetId="3" state="visible" r:id="rId5"/>
    <sheet name="Synthèse par impôt absorbant" sheetId="4" state="visible" r:id="rId6"/>
    <sheet name="Maintenus à part" sheetId="5" state="visible" r:id="rId7"/>
    <sheet name="Ce qui reste à lever" sheetId="6" state="visible" r:id="rId8"/>
    <sheet name="Compteur trimestriel" sheetId="7" state="visible" r:id="rId9"/>
    <sheet name="Compteur par agent" sheetId="8" state="visible" r:id="rId10"/>
  </sheets>
  <definedNames>
    <definedName function="false" hidden="true" localSheetId="0" name="_xlnm._FilterDatabase" vbProcedure="false">'Tri des prélèvements'!$A$1:$N$421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<sst xmlns="http://schemas.openxmlformats.org/spreadsheetml/2006/main" count="4628" uniqueCount="861">
  <si>
    <t xml:space="preserve">Prélèvement</t>
  </si>
  <si>
    <t xml:space="preserve">Nature</t>
  </si>
  <si>
    <t xml:space="preserve">Famille</t>
  </si>
  <si>
    <t xml:space="preserve">Assiette</t>
  </si>
  <si>
    <t xml:space="preserve">Sous-catégorie</t>
  </si>
  <si>
    <t xml:space="preserve">Ligne du schéma</t>
  </si>
  <si>
    <t xml:space="preserve">Sort</t>
  </si>
  <si>
    <t xml:space="preserve">Impôt absorbant</t>
  </si>
  <si>
    <t xml:space="preserve">Complément de</t>
  </si>
  <si>
    <t xml:space="preserve">Rendement 2026 (M€)</t>
  </si>
  <si>
    <t xml:space="preserve">Siège</t>
  </si>
  <si>
    <t xml:space="preserve">Statut du siège</t>
  </si>
  <si>
    <t xml:space="preserve">Fondement</t>
  </si>
  <si>
    <t xml:space="preserve">Observation</t>
  </si>
  <si>
    <t xml:space="preserve">TVA nette</t>
  </si>
  <si>
    <t xml:space="preserve">impôt ou taxe</t>
  </si>
  <si>
    <t xml:space="preserve">fiscal</t>
  </si>
  <si>
    <t xml:space="preserve">6. La consommation</t>
  </si>
  <si>
    <t xml:space="preserve">Biens et services</t>
  </si>
  <si>
    <t xml:space="preserve">TVA</t>
  </si>
  <si>
    <t xml:space="preserve">conservé et absorbe</t>
  </si>
  <si>
    <t xml:space="preserve">256</t>
  </si>
  <si>
    <t xml:space="preserve">relevé par le fil, confirmé au dépôt</t>
  </si>
  <si>
    <t xml:space="preserve">M-028 — l'un des quatre impôts conservés</t>
  </si>
  <si>
    <t xml:space="preserve">Impôt net sur le revenu</t>
  </si>
  <si>
    <t xml:space="preserve">4. Le revenu des personnes</t>
  </si>
  <si>
    <t xml:space="preserve">Traitements, salaires et pensions</t>
  </si>
  <si>
    <t xml:space="preserve">IR net</t>
  </si>
  <si>
    <t xml:space="preserve">1 A</t>
  </si>
  <si>
    <t xml:space="preserve">Impôt sur les sociétés</t>
  </si>
  <si>
    <t xml:space="preserve">5. L'activité des entreprises</t>
  </si>
  <si>
    <t xml:space="preserve">Bénéfice des entreprises</t>
  </si>
  <si>
    <t xml:space="preserve">IS net</t>
  </si>
  <si>
    <t xml:space="preserve">205</t>
  </si>
  <si>
    <t xml:space="preserve">Taxe foncière sur les propriétés bâties</t>
  </si>
  <si>
    <t xml:space="preserve">7. La propriété et les droits d'usage</t>
  </si>
  <si>
    <t xml:space="preserve">Détention immobilière</t>
  </si>
  <si>
    <t xml:space="preserve">Taxe foncière</t>
  </si>
  <si>
    <t xml:space="preserve">1380</t>
  </si>
  <si>
    <t xml:space="preserve">Retenues à la source et prélèvements sur les revenus de capitaux mobiliers et le prélèvement sur les bons anonymes</t>
  </si>
  <si>
    <t xml:space="preserve">Revenus du capital</t>
  </si>
  <si>
    <t xml:space="preserve">fondu par rattachement</t>
  </si>
  <si>
    <t xml:space="preserve">Impôt sur le revenu</t>
  </si>
  <si>
    <t xml:space="preserve">119 bis</t>
  </si>
  <si>
    <t xml:space="preserve">M-028 et M-034 — assiette de revenu ou de plus-value ; un seul impôt sur le revenu</t>
  </si>
  <si>
    <t xml:space="preserve">Taxe sur les transactions financières - fraction affectée de la ressource État</t>
  </si>
  <si>
    <t xml:space="preserve">235 ter ZD</t>
  </si>
  <si>
    <t xml:space="preserve">confirmé</t>
  </si>
  <si>
    <t xml:space="preserve">Autres impôts directs perçus par voie d'émission de rôles</t>
  </si>
  <si>
    <t xml:space="preserve">non établi</t>
  </si>
  <si>
    <t xml:space="preserve">reclassé le 20261015 : impôt principal renseigné</t>
  </si>
  <si>
    <t xml:space="preserve">CDHR</t>
  </si>
  <si>
    <t xml:space="preserve">224</t>
  </si>
  <si>
    <t xml:space="preserve">Retenues à la source sur certains bénéfices non commerciaux et de l'impôt sur le revenu</t>
  </si>
  <si>
    <t xml:space="preserve">182 B</t>
  </si>
  <si>
    <t xml:space="preserve">Taxe sur la cession à titre onéreux des terrains nus ou des droits relatifs à des terrains nus rendus constructibles du fait de leur classement</t>
  </si>
  <si>
    <t xml:space="preserve">Plus-values des particuliers</t>
  </si>
  <si>
    <t xml:space="preserve">1605 nonies</t>
  </si>
  <si>
    <t xml:space="preserve">Contribution annuelle sur les revenus locatifs</t>
  </si>
  <si>
    <t xml:space="preserve">Revenus fonciers</t>
  </si>
  <si>
    <t xml:space="preserve">234 nonies</t>
  </si>
  <si>
    <t xml:space="preserve">Exit tax</t>
  </si>
  <si>
    <t xml:space="preserve">167 bis</t>
  </si>
  <si>
    <t xml:space="preserve">Taxe spéciale due en cas de non-respect de l'engagement de conserver pendant 5 ans les parts de FCPR ou FCPI</t>
  </si>
  <si>
    <t xml:space="preserve">Taxe sur les ordres annulés dans le cadre d'opérations à haute fréquence</t>
  </si>
  <si>
    <t xml:space="preserve">235 ter ZD bis</t>
  </si>
  <si>
    <t xml:space="preserve">Taxe sur les plus-values immobilières (PVI) autres que terrains à bâtir</t>
  </si>
  <si>
    <t xml:space="preserve">1609 nonies G</t>
  </si>
  <si>
    <t xml:space="preserve">Contribution sociale de solidarité des sociétés (C3S)</t>
  </si>
  <si>
    <t xml:space="preserve">Taxes sur chiffre d'affaires et bénéfices</t>
  </si>
  <si>
    <t xml:space="preserve">L137-30</t>
  </si>
  <si>
    <t xml:space="preserve">M-028 — assiette de bénéfice ; elle revient à l'impôt sur les sociétés</t>
  </si>
  <si>
    <t xml:space="preserve">Contribution exceptionnelle sur les bénéfices des entreprises</t>
  </si>
  <si>
    <t xml:space="preserve">CVAE</t>
  </si>
  <si>
    <t xml:space="preserve">Valeur ajoutée</t>
  </si>
  <si>
    <t xml:space="preserve">Autres taxes sur les entreprises</t>
  </si>
  <si>
    <t xml:space="preserve">1586 ter</t>
  </si>
  <si>
    <t xml:space="preserve">M-031 — impôt de production ; schéma : ligne supprimée en totalité (−13,5 sur 13,2)</t>
  </si>
  <si>
    <t xml:space="preserve">Contribution sociale nette sur les bénéfices des sociétés</t>
  </si>
  <si>
    <t xml:space="preserve">235 ter ZC</t>
  </si>
  <si>
    <t xml:space="preserve">Taxe générale sur les activités polluantes</t>
  </si>
  <si>
    <t xml:space="preserve">Autres prélèvements sur les entreprises</t>
  </si>
  <si>
    <t xml:space="preserve">dont taxe pollution</t>
  </si>
  <si>
    <t xml:space="preserve">266 sexies</t>
  </si>
  <si>
    <t xml:space="preserve">M-030 — taxe spécifique sur un produit ou un service particulier ; schéma : ligne supprimée en totalité</t>
  </si>
  <si>
    <t xml:space="preserve">Taxes annuelles sur les émissions de CO2 et les émissions de polluants des véhicules de tourisme affectés à une activité économique (TAVTAE - CO2 et TAVTAE - polluants)</t>
  </si>
  <si>
    <t xml:space="preserve">dont véhicules</t>
  </si>
  <si>
    <t xml:space="preserve">L421-93</t>
  </si>
  <si>
    <t xml:space="preserve">Taxe sur les installations nucléaires de base relevant du secteur énergétique et assimilées, tarif de base (TINB-E, TA)</t>
  </si>
  <si>
    <t xml:space="preserve">Équipements, installations et réseaux</t>
  </si>
  <si>
    <t xml:space="preserve">L322-39</t>
  </si>
  <si>
    <t xml:space="preserve">Taxe sur l'exploitation des infrastructures de transport de longue distance (TEITLD)</t>
  </si>
  <si>
    <t xml:space="preserve">Chiffre d'affaires</t>
  </si>
  <si>
    <t xml:space="preserve">L425-1</t>
  </si>
  <si>
    <t xml:space="preserve">M-031 — impôt de production assis sur le chiffre d'affaires ou les dépenses</t>
  </si>
  <si>
    <t xml:space="preserve">Contribution sur le chiffre d'affaires des entreprises exploitant une ou plusieurs spécialités pharmaceutiques</t>
  </si>
  <si>
    <t xml:space="preserve">L245-6</t>
  </si>
  <si>
    <t xml:space="preserve">Cotisation versée par les organismes HLM et les SEM</t>
  </si>
  <si>
    <t xml:space="preserve">Bailleurs sociaux</t>
  </si>
  <si>
    <t xml:space="preserve">L452-4</t>
  </si>
  <si>
    <t xml:space="preserve">Transposition de la directive UE sur la taxation minimale des multinationales</t>
  </si>
  <si>
    <t xml:space="preserve">223 VJ</t>
  </si>
  <si>
    <t xml:space="preserve">Imposition forfaitaire annuelle sur les pylônes</t>
  </si>
  <si>
    <t xml:space="preserve">1519 A</t>
  </si>
  <si>
    <t xml:space="preserve">Contribution de la Caisse des dépôts et consignations représentative de l'impôt sur les sociétés</t>
  </si>
  <si>
    <t xml:space="preserve">TA-CVAE - Taxe additionnelle à la cotisation sur la valeur ajoutée des entreprises pour frais de chambres de commerce et d'industrie de région</t>
  </si>
  <si>
    <t xml:space="preserve">Contribution due par les laboratoires et les grossistes répartiteurs sur les ventes en gros aux officines pharmaceutiques</t>
  </si>
  <si>
    <t xml:space="preserve">L138-1</t>
  </si>
  <si>
    <t xml:space="preserve">Taxe sur les rachats d'actions</t>
  </si>
  <si>
    <t xml:space="preserve">Taxe spéciale sur certains véhicules routiers</t>
  </si>
  <si>
    <t xml:space="preserve">Taxe sur les installations nucléaires de base relevant du secteur énergétique et assimilées, tarif de conception (TINB-E, TC)</t>
  </si>
  <si>
    <t xml:space="preserve">Contribution due par les laboratoires sur leurs dépenses de publicité</t>
  </si>
  <si>
    <t xml:space="preserve">Dépenses des entreprises</t>
  </si>
  <si>
    <t xml:space="preserve">L245-1</t>
  </si>
  <si>
    <t xml:space="preserve">Imposition forfaitaire sur le matériel roulant circulant sur le réseau de transport ferroviaire et guidé géré par la RATP - IFER-STIF RATP</t>
  </si>
  <si>
    <t xml:space="preserve">1599 quater A bis</t>
  </si>
  <si>
    <t xml:space="preserve">Taxe sur les installations nucléaires de base relevant du secteur énergétique et assimilées, tarif de recherche (TINB-E, TR)</t>
  </si>
  <si>
    <t xml:space="preserve">Taxe sur les installations nucléaires de base relevant du secteur énergétique et assimilées, tarif d'accompagnement (TINB-E, TA)</t>
  </si>
  <si>
    <t xml:space="preserve">Contribution due par les entreprises fabriquant ou exploitant des dispositifs médicaux sur leurs dépenses de publicité</t>
  </si>
  <si>
    <t xml:space="preserve">L245-5-1</t>
  </si>
  <si>
    <t xml:space="preserve">Cotisation additionnelle versée par les organismes HLM et les SEM</t>
  </si>
  <si>
    <t xml:space="preserve">L452-4-1</t>
  </si>
  <si>
    <t xml:space="preserve">Taxe sur les installations de production d'électricité utilisant l'énergie mécanique du vent situées dans les eaux intérieures ou la mer territoriale</t>
  </si>
  <si>
    <t xml:space="preserve">1519 B</t>
  </si>
  <si>
    <t xml:space="preserve">Redevances communale et départementale des mines</t>
  </si>
  <si>
    <t xml:space="preserve">1519</t>
  </si>
  <si>
    <t xml:space="preserve">Cotisation versée par les organismes HLM</t>
  </si>
  <si>
    <t xml:space="preserve">Contribution forfaitaire annuelle à la charge des professionnels de santé</t>
  </si>
  <si>
    <t xml:space="preserve">Contribution forfaitaire des organismes assureurs et contribution forfaitaire des organismes participant à la gestion du régime prévu par la loi n° 2001-1128 du 30 novembre 2001</t>
  </si>
  <si>
    <t xml:space="preserve">1622</t>
  </si>
  <si>
    <t xml:space="preserve">Taxe sur les installations nucléaires de base relevant du secteur énergétique et assimilées, tarif de stockage (TINB-E, TC)</t>
  </si>
  <si>
    <t xml:space="preserve">Taxe due par les concessionnaires de mines d'or, les amodiataires des concessions de mines d'or et les titulaires de permis et d'autorisations d'exploitation de mines d'or exploitées en Guyane (taxe additionnelle aurifère)</t>
  </si>
  <si>
    <t xml:space="preserve">Contribution annuelle au profit de l'Institut de radioprotection et de sûreté nucléaire</t>
  </si>
  <si>
    <t xml:space="preserve">Contribution au fonds de garantie des dommages consécutifs à des actes de prévention, de diagnostic ou de soins dispensés par des professionnels de santé</t>
  </si>
  <si>
    <t xml:space="preserve">L1142-24-17</t>
  </si>
  <si>
    <t xml:space="preserve">Contribution emballage liée à la responsabilité élargie du producteur</t>
  </si>
  <si>
    <t xml:space="preserve">L541-10-1</t>
  </si>
  <si>
    <t xml:space="preserve">Contribution à la charge des entreprises assurant l'exploitation, l'importation parallèle ou la distribution parallèle d'une ou de plusieurs spécialités pharmaceutiques</t>
  </si>
  <si>
    <t xml:space="preserve">L138-10</t>
  </si>
  <si>
    <t xml:space="preserve">Contribution à la charge des exploitants d'un ou plusieurs produits ou prestations</t>
  </si>
  <si>
    <t xml:space="preserve">Contributions sociales maladie - Contribution UNOCAM et autres</t>
  </si>
  <si>
    <t xml:space="preserve">L137-15</t>
  </si>
  <si>
    <t xml:space="preserve">socle du régime relevé par le fil, confirmé au dépôt</t>
  </si>
  <si>
    <t xml:space="preserve">Contributions à la charge des fabricants ou distributeurs de dispositifs médicaux, tissus et cellules, produits de santé autres que les médicaments et prestations associées</t>
  </si>
  <si>
    <t xml:space="preserve">Cotisation interprofessionnelle étendue Équarrissage</t>
  </si>
  <si>
    <t xml:space="preserve">Imposition forfaitaire sur les centrales de production d'énergie électrique d'origine photovoltaïque ou hydraulique</t>
  </si>
  <si>
    <t xml:space="preserve">1519 F</t>
  </si>
  <si>
    <t xml:space="preserve">Imposition forfaitaire sur les entreprises de réseaux</t>
  </si>
  <si>
    <t xml:space="preserve">1635-0 quinquies</t>
  </si>
  <si>
    <t xml:space="preserve">Imposition forfaitaire sur les réseaux de gaz naturel et canalisations d'hydrocarbures</t>
  </si>
  <si>
    <t xml:space="preserve">1519 HA</t>
  </si>
  <si>
    <t xml:space="preserve">Taxe annuelle due par les laboratoires de biologie médicale</t>
  </si>
  <si>
    <t xml:space="preserve">Taxe pour le financement du fonds de soutien aux collectivités territoriales ayant contracté des produits structurés</t>
  </si>
  <si>
    <t xml:space="preserve">235 ter ZE bis</t>
  </si>
  <si>
    <t xml:space="preserve">Taxe sur l'exploration d'hydrocarbures</t>
  </si>
  <si>
    <t xml:space="preserve">1590</t>
  </si>
  <si>
    <t xml:space="preserve">Taxe sur le chiffre d'affaires des exploitants agricoles</t>
  </si>
  <si>
    <t xml:space="preserve">302 bis MB</t>
  </si>
  <si>
    <t xml:space="preserve">Taxe sur les entreprises ayant bénéficié de quotas d'émission de gaz à effet de serre</t>
  </si>
  <si>
    <t xml:space="preserve">Taxe sur les excédents de provisions des entreprises d'assurance de dommages</t>
  </si>
  <si>
    <t xml:space="preserve">235 ter X</t>
  </si>
  <si>
    <t xml:space="preserve">Taxe sur les installations nucléaires de base concourant à la gestion des substances radioactives</t>
  </si>
  <si>
    <t xml:space="preserve">Taxes sur l'affectation des véhicules à des fins économiques, taxe annuelle sur les véhicules lourds de transport de marchandises</t>
  </si>
  <si>
    <t xml:space="preserve">L421-94</t>
  </si>
  <si>
    <t xml:space="preserve">relevé par le fil, à contrôler (article du chapitre, non l'article d'institution)</t>
  </si>
  <si>
    <t xml:space="preserve">Droits de mutation à titre gratuit par décès</t>
  </si>
  <si>
    <t xml:space="preserve">Mutations et transmissions</t>
  </si>
  <si>
    <t xml:space="preserve">à titre gratuit</t>
  </si>
  <si>
    <t xml:space="preserve">750 ter</t>
  </si>
  <si>
    <t xml:space="preserve">M-033 — droit supprimé, remplacé par la franchise de 3 % déductible de l'imposition de la plus-value</t>
  </si>
  <si>
    <t xml:space="preserve">Taxe départementale de publicité foncière sur les mutations à titres onéreux</t>
  </si>
  <si>
    <t xml:space="preserve">à titre onéreux</t>
  </si>
  <si>
    <t xml:space="preserve">1594 A</t>
  </si>
  <si>
    <t xml:space="preserve">Taxes d'enlèvement des ordures ménagères</t>
  </si>
  <si>
    <t xml:space="preserve">Services urbains</t>
  </si>
  <si>
    <t xml:space="preserve">1520</t>
  </si>
  <si>
    <t xml:space="preserve">M-035 — contribution locale, unifiée dans la taxe foncière unique</t>
  </si>
  <si>
    <t xml:space="preserve">Autres taxes</t>
  </si>
  <si>
    <t xml:space="preserve">Autres redevances et droits</t>
  </si>
  <si>
    <t xml:space="preserve">Autres taxes sur les ménages</t>
  </si>
  <si>
    <t xml:space="preserve">M-030 — taxe spécifique ; schéma : ligne supprimée en totalité (−6,7 sur 6,5)</t>
  </si>
  <si>
    <t xml:space="preserve">Droits de mutation à titre gratuit entre vifs (donations)</t>
  </si>
  <si>
    <t xml:space="preserve">777</t>
  </si>
  <si>
    <t xml:space="preserve">Taxe communale additionnelle à certains droits d'enregistrement</t>
  </si>
  <si>
    <t xml:space="preserve">1584</t>
  </si>
  <si>
    <t xml:space="preserve">Impôt sur la fortune immobilière</t>
  </si>
  <si>
    <t xml:space="preserve">964</t>
  </si>
  <si>
    <t xml:space="preserve">M-035 — contribution locale, unifiée dans la taxe foncière unique — confirmé par l'auteure le 20261005 : cas général de la refonte, pièce 4.4</t>
  </si>
  <si>
    <t xml:space="preserve">Taxe d’aménagement</t>
  </si>
  <si>
    <t xml:space="preserve">Urbanisme et aménagement</t>
  </si>
  <si>
    <t xml:space="preserve">Taxe annuelle sur les locaux à usage de bureaux, les locaux commerciaux, les locaux de stockage et les surfaces de stationnement annexées à ces catégories de locaux perçue dans la région Ile-de-France</t>
  </si>
  <si>
    <t xml:space="preserve">Locaux d'activité</t>
  </si>
  <si>
    <t xml:space="preserve">231 ter</t>
  </si>
  <si>
    <t xml:space="preserve">décision de l'auteure du 20260930 — supprimé, rendement repris par la taxe foncière unique (M-035)</t>
  </si>
  <si>
    <t xml:space="preserve">Taxe sur le patrimoine financier</t>
  </si>
  <si>
    <t xml:space="preserve">Détention de patrimoine mobilier</t>
  </si>
  <si>
    <t xml:space="preserve">Contribution de sécurité immobilière</t>
  </si>
  <si>
    <t xml:space="preserve">—</t>
  </si>
  <si>
    <t xml:space="preserve">879</t>
  </si>
  <si>
    <t xml:space="preserve">défaut de l'arbitrage — contrepartie non individualisable (police administrative, bien public ou assiette ad valorem) ; suppression et financement par le budget général</t>
  </si>
  <si>
    <t xml:space="preserve">Rémunération pour services rendus au comité professionnel des stocks stratégiques pétroliers</t>
  </si>
  <si>
    <t xml:space="preserve">Domaine public, spectre et concessions</t>
  </si>
  <si>
    <t xml:space="preserve">L642-6</t>
  </si>
  <si>
    <t xml:space="preserve">Droits sur les conventions et actes civils</t>
  </si>
  <si>
    <t xml:space="preserve">Actes juridiques et professions réglementées</t>
  </si>
  <si>
    <t xml:space="preserve">680</t>
  </si>
  <si>
    <t xml:space="preserve">Timbre unique</t>
  </si>
  <si>
    <t xml:space="preserve">Timbre et formalités administratives</t>
  </si>
  <si>
    <t xml:space="preserve">Droits départementaux d'enregistrement sur les mutations à titre onéreux d'immeubles</t>
  </si>
  <si>
    <t xml:space="preserve">Prélèvement sur les sommes versées par les organismes d'assurances et assimilés à raison des contrats d'assurance en cas de décès</t>
  </si>
  <si>
    <t xml:space="preserve">Droits de mutation</t>
  </si>
  <si>
    <t xml:space="preserve">990 I</t>
  </si>
  <si>
    <t xml:space="preserve">Droits de mutation à titre onéreux de créances, rentes, prix d'offices</t>
  </si>
  <si>
    <t xml:space="preserve">724</t>
  </si>
  <si>
    <t xml:space="preserve">Taxes spéciales d'équipement</t>
  </si>
  <si>
    <t xml:space="preserve">1607 bis</t>
  </si>
  <si>
    <t xml:space="preserve">Fraction des droits de timbre sur les passeports sécurisés</t>
  </si>
  <si>
    <t xml:space="preserve">Taxe additionnelle à la taxe foncière sur les propriétés non baties, pour frais de chambres d'agriculture (TCA-TFPNB)</t>
  </si>
  <si>
    <t xml:space="preserve">1604</t>
  </si>
  <si>
    <t xml:space="preserve">TA-CFE - fraction CCI-R de la Taxe additionnelle à la cotisation foncière des entreprises pour frais de chambres de commerce et d’industrie de région</t>
  </si>
  <si>
    <t xml:space="preserve">TA-CFE - fraction CRMA de la Taxe additionnelle à la cotisation foncière des entreprises pour frais de chambre régionale de métiers et d'artisanat</t>
  </si>
  <si>
    <t xml:space="preserve">1601</t>
  </si>
  <si>
    <t xml:space="preserve">Taxe sur la publicité extérieure (TPE)</t>
  </si>
  <si>
    <t xml:space="preserve">L454-39</t>
  </si>
  <si>
    <t xml:space="preserve">Contributions pour frais de contrôle</t>
  </si>
  <si>
    <t xml:space="preserve">Frais de contrôle et de surveillance</t>
  </si>
  <si>
    <t xml:space="preserve">L612-20</t>
  </si>
  <si>
    <t xml:space="preserve">Droits de mutation à titre onéreux de fonds de commerce</t>
  </si>
  <si>
    <t xml:space="preserve">719</t>
  </si>
  <si>
    <t xml:space="preserve">Taxe sur les surfaces commerciales</t>
  </si>
  <si>
    <t xml:space="preserve">Taxe départementale additionnelle à certains droits d'enregistrement</t>
  </si>
  <si>
    <t xml:space="preserve">1595</t>
  </si>
  <si>
    <t xml:space="preserve">Contribution vie étudiante et campus</t>
  </si>
  <si>
    <t xml:space="preserve">L841-5</t>
  </si>
  <si>
    <t xml:space="preserve">Redevances perçues à l'occasion des procédures et formalités en matière de propriété industrielle ainsi que de registre du commerce et des sociétés, établies par divers textes</t>
  </si>
  <si>
    <t xml:space="preserve">repli — fait générateur = acte demandé par le redevable à son seul bénéfice, le tarif rémunère cet acte</t>
  </si>
  <si>
    <t xml:space="preserve">Redevance pour création de bureaux ou de locaux de recherche en région Ile-de-France</t>
  </si>
  <si>
    <t xml:space="preserve">dont redevances sur l'eau</t>
  </si>
  <si>
    <t xml:space="preserve">Redevance hydraulique</t>
  </si>
  <si>
    <t xml:space="preserve">Taxe forfaitaire sur les métaux précieux, les bijoux, les objets d'art, de collection et d'antiquité</t>
  </si>
  <si>
    <t xml:space="preserve">150 VI</t>
  </si>
  <si>
    <t xml:space="preserve">Droits et contributions pour frais de contrôle</t>
  </si>
  <si>
    <t xml:space="preserve">L621-5-3</t>
  </si>
  <si>
    <t xml:space="preserve">Contribution équivalente aux droits de plaidoirie</t>
  </si>
  <si>
    <t xml:space="preserve">L723-3</t>
  </si>
  <si>
    <t xml:space="preserve">nommé non porté au dépôt</t>
  </si>
  <si>
    <t xml:space="preserve">Taxe de balayage</t>
  </si>
  <si>
    <t xml:space="preserve">Taxe sur les surfaces de stationnement</t>
  </si>
  <si>
    <t xml:space="preserve">1599 quater C</t>
  </si>
  <si>
    <t xml:space="preserve">Droits perçus au profit de la Caisse nationale de l'assurance maladie des travailleurs salariés (CNAMTS) en matière de produits de santé, taxe annuelle due par les laboratoires de biologie médicale</t>
  </si>
  <si>
    <t xml:space="preserve">1635 bis AE</t>
  </si>
  <si>
    <t xml:space="preserve">Taxe spéciale d'équipement au profit de l'établissement public Société des grands projets</t>
  </si>
  <si>
    <t xml:space="preserve">1609 G</t>
  </si>
  <si>
    <t xml:space="preserve">Droit de timbre sur les procédures civiles en première instance et prud’hommales</t>
  </si>
  <si>
    <t xml:space="preserve">1635 bis Q</t>
  </si>
  <si>
    <t xml:space="preserve">Redevance proportionnelle sur l'énergie hydraulique</t>
  </si>
  <si>
    <t xml:space="preserve">L523-1</t>
  </si>
  <si>
    <t xml:space="preserve">Prélèvement sur les contrats d'assurance-vie en deshérence; 'Prélèvement sur les contrats participation et intéressement en déshérence</t>
  </si>
  <si>
    <t xml:space="preserve">18</t>
  </si>
  <si>
    <t xml:space="preserve">Redevances UMTS 2G et 3G</t>
  </si>
  <si>
    <t xml:space="preserve">L241-3</t>
  </si>
  <si>
    <t xml:space="preserve">Fraction des droits de timbre sur les cartes nationales d'identité</t>
  </si>
  <si>
    <t xml:space="preserve">Droit affecté au fonds d’indemnisation de la profession d’avoués près les cours d’appel</t>
  </si>
  <si>
    <t xml:space="preserve">1635 bis P</t>
  </si>
  <si>
    <t xml:space="preserve">Taxes sur les stations et liaisons radioélectriques privées</t>
  </si>
  <si>
    <t xml:space="preserve">Fraction des droits de timbre relative aux titres de séjours</t>
  </si>
  <si>
    <t xml:space="preserve">953 al. IV</t>
  </si>
  <si>
    <t xml:space="preserve">Taxe sur le renouvellement et l'échange du permis de conduire (TREPC)</t>
  </si>
  <si>
    <t xml:space="preserve">L421-168</t>
  </si>
  <si>
    <t xml:space="preserve">Redevance due par les titulaires de titres d'exploitation de mines d'hydrocarbures liquides ou gazeux</t>
  </si>
  <si>
    <t xml:space="preserve">Taxe relative à la mise sur le marché des produits phytopharmaceutiques et de leurs adjuvants, des matières fertilisantes et de leurs adjuvants et des supports de culture</t>
  </si>
  <si>
    <t xml:space="preserve">Taxes sur les friches commerciales</t>
  </si>
  <si>
    <t xml:space="preserve">1530</t>
  </si>
  <si>
    <t xml:space="preserve">Taxe liée aux dossiers de demande concernant les médicaments vétérinaires ou leur publicité</t>
  </si>
  <si>
    <t xml:space="preserve">Contrôles sanitaires et phytosanitaires</t>
  </si>
  <si>
    <t xml:space="preserve">L5141-8 I</t>
  </si>
  <si>
    <t xml:space="preserve">Droits de plaidoirie</t>
  </si>
  <si>
    <t xml:space="preserve">Autres droits et recettes accessoires</t>
  </si>
  <si>
    <t xml:space="preserve">Taxe annuelle portant sur les autorisations de médicaments vétérinaires et les autorisations d’établissements pharmaceutiques vétérinaires</t>
  </si>
  <si>
    <t xml:space="preserve">Redevance sur les produits biocides</t>
  </si>
  <si>
    <t xml:space="preserve">R522-1</t>
  </si>
  <si>
    <t xml:space="preserve">Indemnité de défrichement</t>
  </si>
  <si>
    <t xml:space="preserve">Redevance pour délivrance initiale du permis de chasse</t>
  </si>
  <si>
    <t xml:space="preserve">R423-11</t>
  </si>
  <si>
    <t xml:space="preserve">CFE</t>
  </si>
  <si>
    <t xml:space="preserve">1447</t>
  </si>
  <si>
    <t xml:space="preserve">Redevance perçue à l’occasion de l’introduction des familles étrangères en France</t>
  </si>
  <si>
    <t xml:space="preserve">Redevance pour délivrance de certificats sanitaires et phytosanitaires</t>
  </si>
  <si>
    <t xml:space="preserve">L236-2</t>
  </si>
  <si>
    <t xml:space="preserve">Droit d'examen du permis de chasse</t>
  </si>
  <si>
    <t xml:space="preserve">Taxe pour non-raccordement à l'égout - Participation pour le financement de l'assainissement collectif (PAC)</t>
  </si>
  <si>
    <t xml:space="preserve">L1331-7</t>
  </si>
  <si>
    <t xml:space="preserve">Taxe sur l'utilisation des bandes « 700 MHz » et « 800 MHz » du spectre radioélectrique</t>
  </si>
  <si>
    <t xml:space="preserve">L455-44</t>
  </si>
  <si>
    <t xml:space="preserve">Droits de mutation à titre onéreux de meubles corporels</t>
  </si>
  <si>
    <t xml:space="preserve">733</t>
  </si>
  <si>
    <t xml:space="preserve">Taxe sur le visa d'exploitation cinématographique</t>
  </si>
  <si>
    <t xml:space="preserve">L455-1</t>
  </si>
  <si>
    <t xml:space="preserve">Actes et écrits assujettis au timbre de dimension</t>
  </si>
  <si>
    <t xml:space="preserve">Contributions versées par la SNCF au titre des frais de surveillance et de contrôle des chemins de fer</t>
  </si>
  <si>
    <t xml:space="preserve">Droit de timbre sur les demandes de naturalisation, les demandes de réintégration dans la nationalité française et les déclarations d'acquisition de la nationalité</t>
  </si>
  <si>
    <t xml:space="preserve">958</t>
  </si>
  <si>
    <t xml:space="preserve">Droit de timbre sur les visas de passeports étrangers</t>
  </si>
  <si>
    <t xml:space="preserve">954</t>
  </si>
  <si>
    <t xml:space="preserve">Droits d'enregistrement</t>
  </si>
  <si>
    <t xml:space="preserve">635</t>
  </si>
  <si>
    <t xml:space="preserve">Droits d'enregistrement sur les mutations de jouissance (baux d'immeubles et commerciaux à durée limitée)</t>
  </si>
  <si>
    <t xml:space="preserve">742</t>
  </si>
  <si>
    <t xml:space="preserve">Droits sur les actes judiciaires et extrajudiciaires</t>
  </si>
  <si>
    <t xml:space="preserve">Frais d'inscription au registre des exploitants de voitures de transport avec chauffeur</t>
  </si>
  <si>
    <t xml:space="preserve">L3122-3</t>
  </si>
  <si>
    <t xml:space="preserve">Garantie des matières d'or et d'argent</t>
  </si>
  <si>
    <t xml:space="preserve">Participation des concessionnaires de la liaison fixe Trans-Manche au fonctionnement de la commission intergouvernementale et du comité de sécurité chargés de superviser la construction et l'exploitation de l'ouvrage</t>
  </si>
  <si>
    <t xml:space="preserve">Participation pour non-réalisation d'aires de stationnement</t>
  </si>
  <si>
    <t xml:space="preserve">Prélèvement sur les biens, droits et produits placés dans un trust</t>
  </si>
  <si>
    <t xml:space="preserve">990 J</t>
  </si>
  <si>
    <t xml:space="preserve">Redevance pour examen du code de la route</t>
  </si>
  <si>
    <t xml:space="preserve">Redevance pour l'agrément des établissements du secteur de l'alimentation animale</t>
  </si>
  <si>
    <t xml:space="preserve">302 bis WD</t>
  </si>
  <si>
    <t xml:space="preserve">Redevance pour le contrôle vétérinaire à l'importation de produits animaux ou d'origine animale, d'animaux vivants</t>
  </si>
  <si>
    <t xml:space="preserve">302 bis X</t>
  </si>
  <si>
    <t xml:space="preserve">Redevance pour les contrôles vétérinaires et phytosanitaires des végétaux à l'importation</t>
  </si>
  <si>
    <t xml:space="preserve">Redevance proportionnelle sur le résultat normatif des concessions hydroélectriques soumises aux "délais glissants"</t>
  </si>
  <si>
    <t xml:space="preserve">Redevance relative aux contrôles renforcés à l'importation des denrées alimentaires d'origine non animale</t>
  </si>
  <si>
    <t xml:space="preserve">Redevance sanitaire d'abattage</t>
  </si>
  <si>
    <t xml:space="preserve">302 bis N</t>
  </si>
  <si>
    <t xml:space="preserve">Redevance sanitaire de découpage</t>
  </si>
  <si>
    <t xml:space="preserve">302 bis S</t>
  </si>
  <si>
    <t xml:space="preserve">Redevance sanitaire de première mise sur le marché des produits de la pêche ou de l'aquaculture</t>
  </si>
  <si>
    <t xml:space="preserve">302 bis WA</t>
  </si>
  <si>
    <t xml:space="preserve">Redevance sanitaire de transformation des produits de la pêche et de l'aquaculture</t>
  </si>
  <si>
    <t xml:space="preserve">302 bis WB</t>
  </si>
  <si>
    <t xml:space="preserve">Redevance sanitaire liée à la certification des végétaux à l'exportation</t>
  </si>
  <si>
    <t xml:space="preserve">Redevance sanitaire pour le contrôle de certaines substances et de leurs résidus</t>
  </si>
  <si>
    <t xml:space="preserve">302 bis WC</t>
  </si>
  <si>
    <t xml:space="preserve">Redevances versées pour la délivrance des certificats d'obtention végétale</t>
  </si>
  <si>
    <t xml:space="preserve">Taxe additionnelle au droit de bail</t>
  </si>
  <si>
    <t xml:space="preserve">Taxe additionnelle aux droits de mutation de locaux à usage de bureaux en IdF</t>
  </si>
  <si>
    <t xml:space="preserve">1599 sexies</t>
  </si>
  <si>
    <t xml:space="preserve">Taxe additionnelle spéciale annuelle (TASA)</t>
  </si>
  <si>
    <t xml:space="preserve">1599 quater D</t>
  </si>
  <si>
    <t xml:space="preserve">Taxe additionnelle à la TASCOM</t>
  </si>
  <si>
    <t xml:space="preserve">302 bis ZA</t>
  </si>
  <si>
    <t xml:space="preserve">Taxe annuelle sur les locaux à usage de bureaux, les locaux commerciaux, les locaux de stockage et les surfaces de stationnement perçue dans les départements des Bouches-du-Rhône, du Var et des Alpes-Maritimes</t>
  </si>
  <si>
    <t xml:space="preserve">231 quater</t>
  </si>
  <si>
    <t xml:space="preserve">Taxe annuelle sur les logements vacants</t>
  </si>
  <si>
    <t xml:space="preserve">Occupation du logement</t>
  </si>
  <si>
    <t xml:space="preserve">232</t>
  </si>
  <si>
    <t xml:space="preserve">M-035 — contribution locale, unifiée dans la taxe foncière unique — 20261005 : article 232 du CGI éteint par le droit en vigueur au 1er janvier 2027 (extrait LEGI 20261001, sans version suivante) ; plus rien à fondre</t>
  </si>
  <si>
    <t xml:space="preserve">Taxe applicable aux demandes de validation d'une attestation d'accueil</t>
  </si>
  <si>
    <t xml:space="preserve">Taxe d'archéologie préventive</t>
  </si>
  <si>
    <t xml:space="preserve">235 ter ZG</t>
  </si>
  <si>
    <t xml:space="preserve">Taxe d'habitation sur les résidences secondaires</t>
  </si>
  <si>
    <t xml:space="preserve">1407</t>
  </si>
  <si>
    <t xml:space="preserve">Taxe d'ouverture de caveau</t>
  </si>
  <si>
    <t xml:space="preserve">L2223-22-2</t>
  </si>
  <si>
    <t xml:space="preserve">relevé par le fil, non confirmé</t>
  </si>
  <si>
    <t xml:space="preserve">Taxe foncière sur les propriétés non bâties</t>
  </si>
  <si>
    <t xml:space="preserve">1393</t>
  </si>
  <si>
    <t xml:space="preserve">Taxe gestion des milieux aquatiques et prévention des inondations (GEMAPI)</t>
  </si>
  <si>
    <t xml:space="preserve">1530 bis</t>
  </si>
  <si>
    <t xml:space="preserve">Taxe holding</t>
  </si>
  <si>
    <t xml:space="preserve">235 ter C</t>
  </si>
  <si>
    <t xml:space="preserve">Taxe pour frais de chambre de métiers (CMA)</t>
  </si>
  <si>
    <t xml:space="preserve">Taxe pour frais de chambre de métiers d'Alsace</t>
  </si>
  <si>
    <t xml:space="preserve">Taxe pour frais de chambre de métiers de Moselle</t>
  </si>
  <si>
    <t xml:space="preserve">Taxe pour les chambres de commerce et d'industrie (TCCI)</t>
  </si>
  <si>
    <t xml:space="preserve">1600</t>
  </si>
  <si>
    <t xml:space="preserve">Taxe sur l'autorisation d'exercice de l'activité d'exploitant d'établissement de spectacles cinématographiques</t>
  </si>
  <si>
    <t xml:space="preserve">dont numérique, spectacles</t>
  </si>
  <si>
    <t xml:space="preserve">L455-9</t>
  </si>
  <si>
    <t xml:space="preserve">Taxe sur la valeur vénale des immeubles</t>
  </si>
  <si>
    <t xml:space="preserve">990 D</t>
  </si>
  <si>
    <t xml:space="preserve">Taxe sur le permis de conduire des bateaux de plaisance à moteur</t>
  </si>
  <si>
    <t xml:space="preserve">L423-38</t>
  </si>
  <si>
    <t xml:space="preserve">Taxe sur les demandes de visa ou de renouvellement de visa de publicité et sur les dépôts de publicité pharmaceutiques</t>
  </si>
  <si>
    <t xml:space="preserve">Taxe sur les permis de conduire</t>
  </si>
  <si>
    <t xml:space="preserve">1599 terdecies</t>
  </si>
  <si>
    <t xml:space="preserve">Taxe sur les émoluments</t>
  </si>
  <si>
    <t xml:space="preserve">Versement pour sous-densité</t>
  </si>
  <si>
    <t xml:space="preserve">taxe de réduction et réunion de corps</t>
  </si>
  <si>
    <t xml:space="preserve">L2223-22-1</t>
  </si>
  <si>
    <t xml:space="preserve">taxe de superposition des corps</t>
  </si>
  <si>
    <t xml:space="preserve">Taxe de solidarité additionnelle (TSA)</t>
  </si>
  <si>
    <t xml:space="preserve">dont autres taxes sur les produits</t>
  </si>
  <si>
    <t xml:space="preserve">Taxe sur la valeur ajoutée</t>
  </si>
  <si>
    <t xml:space="preserve">L862-4</t>
  </si>
  <si>
    <t xml:space="preserve">Prélèvement sur les jeux exploités par la FdJ hors paris sportifs</t>
  </si>
  <si>
    <t xml:space="preserve">Jeux et paris</t>
  </si>
  <si>
    <t xml:space="preserve">dont alcool, tabac, jeux</t>
  </si>
  <si>
    <t xml:space="preserve">1609 novovicies al. 1</t>
  </si>
  <si>
    <t xml:space="preserve">M-030 — produit à effets négatifs et à dépendance forte ; schéma : ligne maintenue à 25,3 sur 25,6</t>
  </si>
  <si>
    <t xml:space="preserve">Redevances pour pollution de l'eau, redevances pour modernisation des réseaux de collecte, redevance sur la consommation d'eau potable, redevances pour la performance des réseaux d'eau potable et pour la performance des systèmes d'assainissement collectif, redevances pour pollutions diffuses, redevances pour prélèvement sur la ressource en eau, redevance pour stockage d'eau en période d'étiage, redevances cynégétiques, droit de validation du permis de chasse, redevance pour protection du milieu aquatique, redevance pour obstacle sur les cours d’eau</t>
  </si>
  <si>
    <t xml:space="preserve">Transport, véhicules et déplacements</t>
  </si>
  <si>
    <t xml:space="preserve">Taxe régionale sur l'immatriculation des véhicules (TRIV) et taxe fixe sur l'immatriculation des véhicules (TFIV)</t>
  </si>
  <si>
    <t xml:space="preserve">L421-29</t>
  </si>
  <si>
    <t xml:space="preserve">Contribution tarifaire d'acheminement (CTA)</t>
  </si>
  <si>
    <t xml:space="preserve">Taxe sur le transport aérien de passagers, tarif de solidarité (TAP, TS)</t>
  </si>
  <si>
    <t xml:space="preserve">dont services de transports</t>
  </si>
  <si>
    <t xml:space="preserve">L422-13</t>
  </si>
  <si>
    <t xml:space="preserve">Prélèvement sur les paris sportifs en ligne de la FdJ et des nouveaux opérateurs agréés</t>
  </si>
  <si>
    <t xml:space="preserve">1609 tricies</t>
  </si>
  <si>
    <t xml:space="preserve">Taxe d'aéroport</t>
  </si>
  <si>
    <t xml:space="preserve">1609 quatervicies</t>
  </si>
  <si>
    <t xml:space="preserve">Prélèvement sur le produit brut des jeux dans les casinos</t>
  </si>
  <si>
    <t xml:space="preserve">L2333-55</t>
  </si>
  <si>
    <t xml:space="preserve">Taxe sur les boissons sucrées</t>
  </si>
  <si>
    <t xml:space="preserve">Eau, déchets et boissons sucrées</t>
  </si>
  <si>
    <t xml:space="preserve">1613 ter</t>
  </si>
  <si>
    <t xml:space="preserve">Taxe sur les services numériques</t>
  </si>
  <si>
    <t xml:space="preserve">Médias, culture et numérique</t>
  </si>
  <si>
    <t xml:space="preserve">L453-40</t>
  </si>
  <si>
    <t xml:space="preserve">Taxe sur la distance parcourue sur le réseau autoroutier concédé</t>
  </si>
  <si>
    <t xml:space="preserve">L421-175</t>
  </si>
  <si>
    <t xml:space="preserve">Redevances sur les paris hippiques</t>
  </si>
  <si>
    <t xml:space="preserve">1609 tertricies</t>
  </si>
  <si>
    <t xml:space="preserve">Taxe "petit colis"</t>
  </si>
  <si>
    <t xml:space="preserve">Fraction des Prélèvements sociaux sur les jeux</t>
  </si>
  <si>
    <t xml:space="preserve">L137-20</t>
  </si>
  <si>
    <t xml:space="preserve">Taxe sur les services de télévision</t>
  </si>
  <si>
    <t xml:space="preserve">L453-13</t>
  </si>
  <si>
    <t xml:space="preserve">Taxe sur la publicité télévisuelle et autres ressources liées à la diffusion de services de télévision</t>
  </si>
  <si>
    <t xml:space="preserve">L454-1</t>
  </si>
  <si>
    <t xml:space="preserve">Taxe sur les services d'accès à des contenus audiovisuels à la demande</t>
  </si>
  <si>
    <t xml:space="preserve">L454-16</t>
  </si>
  <si>
    <t xml:space="preserve">Taxe sur les spectacles cinématographiques</t>
  </si>
  <si>
    <t xml:space="preserve">L452-1</t>
  </si>
  <si>
    <t xml:space="preserve">Fraction du Prélèvement sur les mises de jeux de cercle en ligne affectée aux communes dans le ressort territorial desquelles sont ouverts au public un ou plusieurs casinos</t>
  </si>
  <si>
    <t xml:space="preserve">302 bis ZI</t>
  </si>
  <si>
    <t xml:space="preserve">Taxe sur les biens des industries de la fonderie (TBIF), taxe sur les biens des industries de la soudure (TBIS), taxe sur les biens des industries aérauliques et thermique (TBIAT), taxe sur les biens des industries de la construction métallique (TBICC) et taxe sur les biens des industries mécaniques (TBIC)</t>
  </si>
  <si>
    <t xml:space="preserve">Taxe régionale sur l'immatriculation des véhicules (TRIV), majoration francilienne</t>
  </si>
  <si>
    <t xml:space="preserve">L1241-14</t>
  </si>
  <si>
    <t xml:space="preserve">Contribution générale sur les boissons alcoolique, tarif sur les boissons édulcorées</t>
  </si>
  <si>
    <t xml:space="preserve">Taxe sur l'immatriculation des véhicules de transport (TIVT)</t>
  </si>
  <si>
    <t xml:space="preserve">Taxe sur les spectacles vivants, fraction perçue sur les spectacles de variétés (TSV, SV)</t>
  </si>
  <si>
    <t xml:space="preserve">L452-14</t>
  </si>
  <si>
    <t xml:space="preserve">Fraction du Prélèvement sur les paris hippiques affectée aux EPCI et communes sur le territoire desquelles sont ouverts au public un ou plusieurs hippodromes</t>
  </si>
  <si>
    <t xml:space="preserve">302 bis ZG</t>
  </si>
  <si>
    <t xml:space="preserve">Taxe sur le transport aérien de passagers, majoration Corse (TAP) et taxe sur le transport maritime de passagers dans certains territoires côtiers (TMPTC)</t>
  </si>
  <si>
    <t xml:space="preserve">Taxe annuelle sur les engins maritimes à usage personnel (TAEMUP)</t>
  </si>
  <si>
    <t xml:space="preserve">L423-37</t>
  </si>
  <si>
    <t xml:space="preserve">Taxe sur les nuisances sonores aériennes (TNSA)</t>
  </si>
  <si>
    <t xml:space="preserve">L422-49</t>
  </si>
  <si>
    <t xml:space="preserve">Droit départemental de passage sur les ouvrages d'art reliant le continent aux îles maritimes</t>
  </si>
  <si>
    <t xml:space="preserve">L173-3</t>
  </si>
  <si>
    <t xml:space="preserve">Taxe sur la cession de droits d'exploitation audiovisuelle des manifestations sportives (TCSDEAMS)</t>
  </si>
  <si>
    <t xml:space="preserve">L455-28</t>
  </si>
  <si>
    <t xml:space="preserve">Taxe fixe sur l'immatriculation des véhicules (TFIV)</t>
  </si>
  <si>
    <t xml:space="preserve">Taxe sur la publicité diffusée au moyen de services d'accès à des contenus audiovisuels à la demande</t>
  </si>
  <si>
    <t xml:space="preserve">Redevances pour prélèvement sur la ressource en eau, pour pollution de l'eau, pour modernisation des réseaux de collecte, pour pollutions diffuses, pour stockage d'eau en période d'étiage, pour obstacle sur les cours d'eau et pour protection du milieu aquatique dans les DOM</t>
  </si>
  <si>
    <t xml:space="preserve">L213-14</t>
  </si>
  <si>
    <t xml:space="preserve">Fraction du prélèvement sur les jeux de loterie correspondant aux jeux dédiés au patrimoine</t>
  </si>
  <si>
    <t xml:space="preserve">Taxe sur les déchets mis en décharge (TDMD) et taxe sur les déchets incinérés (TDI), majoration locale</t>
  </si>
  <si>
    <t xml:space="preserve">Taxe sur les locations en France de phonogrammes musicaux et de vidéomusiques destinés à l'usage privé du public dans le cadre d'une mise à disposition à la demande sur les réseaux en ligne</t>
  </si>
  <si>
    <t xml:space="preserve">1609 sexdecies C</t>
  </si>
  <si>
    <t xml:space="preserve">Taxe sur les biens des industries de l'horlogerie, de la bijouterie-joaillerie, de l'orfèvrerie et des arts de la table (TBIHBJOAT)</t>
  </si>
  <si>
    <t xml:space="preserve">Contribution annuelle acquittée par les personnes inscrites comme commissaires aux comptes, et droit fixe sur chaque rapport de certification des comptes, et contribution de la compagnie nationale des commissaires aux comptes</t>
  </si>
  <si>
    <t xml:space="preserve">L820-10</t>
  </si>
  <si>
    <t xml:space="preserve">Taxe sur les biens des industries du cuir, de la chaussure et de la maroquinerie (TBICCM)</t>
  </si>
  <si>
    <t xml:space="preserve">Taxe annuelle sur la vente des produits phytopharmaceutiques</t>
  </si>
  <si>
    <t xml:space="preserve">Contribution sur les eaux minérales</t>
  </si>
  <si>
    <t xml:space="preserve">1582</t>
  </si>
  <si>
    <t xml:space="preserve">Taxe sur la publicité diffusée au moyen de documents imprimés (ex-taxe sur certaines dépenses de publicité)</t>
  </si>
  <si>
    <t xml:space="preserve">Taxe sur les biens des industries de l'ameublement (TBIA) et taxe sur les biens des industries du bois (TBIB)</t>
  </si>
  <si>
    <t xml:space="preserve">Taxe sur les biens des industries du béton (TBIB), taxe sur les biens des industries des matériaux de construction en terre cuite (TBIMCT) et taxe sur les biens des industries des roches ornementales et de construction (TBIROC)</t>
  </si>
  <si>
    <t xml:space="preserve">Taxe sur les spectacles vivants, fraction perçue sur les spectacles d'art dramatique, lyrique et chorégraphique (TSV, ADLC)</t>
  </si>
  <si>
    <t xml:space="preserve">Taxe sur les biens des industries de l'habillement (TBIH)</t>
  </si>
  <si>
    <t xml:space="preserve">Taxe sur la production et la distribution d'oeuvres cinématographiques</t>
  </si>
  <si>
    <t xml:space="preserve">L455-17</t>
  </si>
  <si>
    <t xml:space="preserve">Taxe sur le biens des industries de la plasturgie et des composites (TBIPC)</t>
  </si>
  <si>
    <t xml:space="preserve">Droit sur les produits bénéficiant d'une appellation d'origine ou d'une indication géographique protégée (INAO)</t>
  </si>
  <si>
    <t xml:space="preserve">L642-13</t>
  </si>
  <si>
    <t xml:space="preserve">Taxe sur le transport maritime de passagers destination d'espaces naturels protégés (TTMPDENP)</t>
  </si>
  <si>
    <t xml:space="preserve">L423-47</t>
  </si>
  <si>
    <t xml:space="preserve">Taxe sur le transport aérien de passagers, majoration outre-mer (TAP)</t>
  </si>
  <si>
    <t xml:space="preserve">Taxe sur les vidéogrammes</t>
  </si>
  <si>
    <t xml:space="preserve">L452-28</t>
  </si>
  <si>
    <t xml:space="preserve">Taxe pour le développement de l'industrie de la conservation des produits agricoles (CTCPA)</t>
  </si>
  <si>
    <t xml:space="preserve">Taxe sur les biens des industrie du papier (TBIP)</t>
  </si>
  <si>
    <t xml:space="preserve">Taxe sur les exploitants de plateformes de mises en relation par voie électronique en vue de fournir certaines prestations de transport</t>
  </si>
  <si>
    <t xml:space="preserve">L453-35</t>
  </si>
  <si>
    <t xml:space="preserve">Taxe sur les biens des industries des corps gras (TICG)</t>
  </si>
  <si>
    <t xml:space="preserve">Taxe annuelle sur les engins maritimes à usage personnel (TAEMUP) – Fraction perçue sur les engins ne battant pas pavillon français</t>
  </si>
  <si>
    <t xml:space="preserve">Impôt sur les spectacles, jeux et divertissements</t>
  </si>
  <si>
    <t xml:space="preserve">124</t>
  </si>
  <si>
    <t xml:space="preserve">Prélèvement sur le produit brut des jeux dans les casinos en contrepartie d'actions de promotion en faveur du tourisme</t>
  </si>
  <si>
    <t xml:space="preserve">L2333-54</t>
  </si>
  <si>
    <t xml:space="preserve">Sommes constatées par les clubs de jeux au titre des "orphelins"</t>
  </si>
  <si>
    <t xml:space="preserve">Taxe sur le transport aérien de marchandises</t>
  </si>
  <si>
    <t xml:space="preserve">Taxe sur les papiers graphiques</t>
  </si>
  <si>
    <t xml:space="preserve">Taxe sur les services de communications électroniques</t>
  </si>
  <si>
    <t xml:space="preserve">Taxes sur l'immatriculation des véhicules, taxe sur la masse en ordre de marche des véhicules de tourisme</t>
  </si>
  <si>
    <t xml:space="preserve">Taxes sur l'immatriculation des véhicules, taxe sur les émissions de dioxyde de carbone des véhicules de tourisme</t>
  </si>
  <si>
    <t xml:space="preserve">Contribution sociale généralisée (CSG)</t>
  </si>
  <si>
    <t xml:space="preserve">contribution sociale</t>
  </si>
  <si>
    <t xml:space="preserve">prélèvement social</t>
  </si>
  <si>
    <t xml:space="preserve">2. Les contributions sociales sur les revenus</t>
  </si>
  <si>
    <t xml:space="preserve">Contribution sociale généralisée et CRDS</t>
  </si>
  <si>
    <t xml:space="preserve">L136-1</t>
  </si>
  <si>
    <t xml:space="preserve">M-025 — fraction revenus d'activité ; la fraction capital n'est pas touchée (arbitrage périmètre fiscal)</t>
  </si>
  <si>
    <t xml:space="preserve">Prélèvements de solidarité</t>
  </si>
  <si>
    <t xml:space="preserve">Prélèvements sociaux sur les revenus du capital</t>
  </si>
  <si>
    <t xml:space="preserve">arbitrage périmètre fiscal du 20260930 — revenus du capital et de remplacement, hors M-025</t>
  </si>
  <si>
    <t xml:space="preserve">Contributions pour le remboursement de la dette sociale (CRDS)</t>
  </si>
  <si>
    <t xml:space="preserve">1600-0 G</t>
  </si>
  <si>
    <t xml:space="preserve">Contributions patronales et salariales sur les attributions d’options (stock-options) de souscription ou d’achat des actions et sur les attributions gratuites</t>
  </si>
  <si>
    <t xml:space="preserve">Épargne salariale et actionnariat</t>
  </si>
  <si>
    <t xml:space="preserve">L137-13</t>
  </si>
  <si>
    <t xml:space="preserve">défaut orienté du 20261001 sur direction de l'auteure — circuit A, colonne « au-delà », par parallèle avec M-042 et M-043 ; révocable en une ligne</t>
  </si>
  <si>
    <t xml:space="preserve">Contribution additionnelle de solidarité autonomie (CASA)</t>
  </si>
  <si>
    <t xml:space="preserve">Solidarité autonomie</t>
  </si>
  <si>
    <t xml:space="preserve">137-41</t>
  </si>
  <si>
    <t xml:space="preserve">Contributions sociales maladie - Prélèvement social sur les revenus du capital</t>
  </si>
  <si>
    <t xml:space="preserve">Contributions sur avantages de retraite et de préretraite (branche maladie)</t>
  </si>
  <si>
    <t xml:space="preserve">Contributions sur les revenus de remplacement</t>
  </si>
  <si>
    <t xml:space="preserve">Contributions sur avantages de retraite et de préretraite FSV</t>
  </si>
  <si>
    <t xml:space="preserve">Cotisations Maladie inactifs — Régime général et FSV</t>
  </si>
  <si>
    <t xml:space="preserve">cotisation sociale</t>
  </si>
  <si>
    <t xml:space="preserve">1. Les cotisations sociales</t>
  </si>
  <si>
    <t xml:space="preserve">Non-salariés et inactifs</t>
  </si>
  <si>
    <t xml:space="preserve">L131-6</t>
  </si>
  <si>
    <t xml:space="preserve">D-3 — les 83 cotisations sociales restent hors mandat</t>
  </si>
  <si>
    <t xml:space="preserve">Prélèvement social et de solidarité sur les revenus du capital FSV</t>
  </si>
  <si>
    <t xml:space="preserve">Prélèvement social sur les revenus des placements (maladie)</t>
  </si>
  <si>
    <t xml:space="preserve">Prélèvement social sur les revenus du capital CNSA</t>
  </si>
  <si>
    <t xml:space="preserve">Prélèvement social sur les revenus du patrimoine (branche maladie)</t>
  </si>
  <si>
    <t xml:space="preserve">Prélèvement sur les revenus des placements FSV</t>
  </si>
  <si>
    <t xml:space="preserve">Prélèvement sur les revenus du patrimoine FSV</t>
  </si>
  <si>
    <t xml:space="preserve">Taxe sur les salaires</t>
  </si>
  <si>
    <t xml:space="preserve">taxe sur la masse salariale</t>
  </si>
  <si>
    <t xml:space="preserve">3. Les taxes sur la masse salariale</t>
  </si>
  <si>
    <t xml:space="preserve">Taxes sur la main d'œuvre</t>
  </si>
  <si>
    <t xml:space="preserve">fondu dans l’équilibre</t>
  </si>
  <si>
    <t xml:space="preserve">M-031 — prélèvement assis sur la main-d'œuvre ; schéma : −48 Md€</t>
  </si>
  <si>
    <t xml:space="preserve">Contribution unique à la formation professionnelle et à l'alternance</t>
  </si>
  <si>
    <t xml:space="preserve">Formation et apprentissage</t>
  </si>
  <si>
    <t xml:space="preserve">L6131-2</t>
  </si>
  <si>
    <t xml:space="preserve">Versement transport dû par les entreprises de plus de 11 salariés implantées en province – part IdFM</t>
  </si>
  <si>
    <t xml:space="preserve">Versement mobilité</t>
  </si>
  <si>
    <t xml:space="preserve">L2333-64</t>
  </si>
  <si>
    <t xml:space="preserve">Participation des employeurs à l'effort de construction (PEEC)</t>
  </si>
  <si>
    <t xml:space="preserve">Logement des salariés</t>
  </si>
  <si>
    <t xml:space="preserve">L313-1</t>
  </si>
  <si>
    <t xml:space="preserve">Contribution des employeurs à l'association pour la gestion du régime d'assurance des créances des salariés (AGS)</t>
  </si>
  <si>
    <t xml:space="preserve">Garantie des salaires</t>
  </si>
  <si>
    <t xml:space="preserve">L143-11-6</t>
  </si>
  <si>
    <t xml:space="preserve">Contribution sur les indemnités de mise à la retraite</t>
  </si>
  <si>
    <t xml:space="preserve">Vieillesse et régimes spéciaux</t>
  </si>
  <si>
    <t xml:space="preserve">L137-12</t>
  </si>
  <si>
    <t xml:space="preserve">Cotisation obligatoire des collectivités aux centres de gestion de la fonction publique territoriale</t>
  </si>
  <si>
    <t xml:space="preserve">Cotisations de sécurité sociale — régime général</t>
  </si>
  <si>
    <t xml:space="preserve">L452-25</t>
  </si>
  <si>
    <t xml:space="preserve">Solde de la taxe d'apprentissage après prise en compte des versements directs des entreprises mentionnés au II de l'article L. 6241-2</t>
  </si>
  <si>
    <t xml:space="preserve">L6241-2 II</t>
  </si>
  <si>
    <t xml:space="preserve">Contribution annuelle au fonds de développement pour l'insertion professionnelle des handicapés (FIPH)</t>
  </si>
  <si>
    <t xml:space="preserve">Handicap, dialogue social et publics spécifiques</t>
  </si>
  <si>
    <t xml:space="preserve">Cotisation obligatoire des collectivités au Centre national de la fonction publique territoriale</t>
  </si>
  <si>
    <t xml:space="preserve">L451-17</t>
  </si>
  <si>
    <t xml:space="preserve">PEFPC : CPF CDD (ex-CIF-CDD) : 1% des salaires versés, ou moins en cas d'accord de branche</t>
  </si>
  <si>
    <t xml:space="preserve">L6331-6</t>
  </si>
  <si>
    <t xml:space="preserve">PEFPC : Participation au financement de la formation des professions non salariées (à l'exception des artisans et des exploitants agricoles) correspondant à 0,25% du montant annuel du plafond de la sécurité sociale</t>
  </si>
  <si>
    <t xml:space="preserve">Contribution supplémentaire à l'apprentissage</t>
  </si>
  <si>
    <t xml:space="preserve">L6242-1</t>
  </si>
  <si>
    <t xml:space="preserve">Contribution sur les régimes de retraite conditionnant la constitution de droits à prestations à l’achèvement de la carrière du bénéficiaire dans l’entreprise</t>
  </si>
  <si>
    <t xml:space="preserve">L137-11</t>
  </si>
  <si>
    <t xml:space="preserve">Contribution spécifique pour le développement de la formation professionnelle initiale et continue dans les métiers des professions du bâtiment et des travaux publics.</t>
  </si>
  <si>
    <t xml:space="preserve">L6331-35</t>
  </si>
  <si>
    <t xml:space="preserve">Cotisation BTP intempéries</t>
  </si>
  <si>
    <t xml:space="preserve">Contribution patronale au dialogue social (0,016%)</t>
  </si>
  <si>
    <t xml:space="preserve">L2135-9</t>
  </si>
  <si>
    <t xml:space="preserve">Contribution annuelle au fonds de développement pour l'insertion professionnelle des personnes handicapées dans la fonction publique (FIPHFP)</t>
  </si>
  <si>
    <t xml:space="preserve">L351-12</t>
  </si>
  <si>
    <t xml:space="preserve">PEFPC : Participation au financement de la formation des professions non salariées (artisans) correspondant à 0,29% du montant annuel du plafond de la sécurité sociale, dont micro entrepreneurs</t>
  </si>
  <si>
    <t xml:space="preserve">PEFPC : Participation au financement de la formation des intermittents correspondant au minimum à 2% des rémunérations versées</t>
  </si>
  <si>
    <t xml:space="preserve">L6331-55</t>
  </si>
  <si>
    <t xml:space="preserve">Contribution conventionnelle à la formation pour les entreprises de travail temporaire</t>
  </si>
  <si>
    <t xml:space="preserve">L6331-69</t>
  </si>
  <si>
    <t xml:space="preserve">PEFPC : Participation au financement de la formation des professions non salariées (Entreprises du Vivant, agriculture) correspondant à 0,30 % des revenus professionnels ou de l'assiette forfaitaire déterminés à l'article L. 731-16 du code rural et de la pêche maritime</t>
  </si>
  <si>
    <t xml:space="preserve">L6331-53</t>
  </si>
  <si>
    <t xml:space="preserve">Contribution sur les avantages de préretraite d’entreprise</t>
  </si>
  <si>
    <t xml:space="preserve">L137-10</t>
  </si>
  <si>
    <t xml:space="preserve">Taxe pour le développement de la formation professionnelle dans les métiers de la réparation de l'automobile, du cycle et du motocycle</t>
  </si>
  <si>
    <t xml:space="preserve">PEFPC : Participation au financement de la formation des professions non salariées (Particuliers employeurs) correspondant au minimum à 0,15% au du montant annuel du plafond de la SS</t>
  </si>
  <si>
    <t xml:space="preserve">L6331-57</t>
  </si>
  <si>
    <t xml:space="preserve">PEFPC : Participation au financement de la formation des professions non salariées (Artistes auteurs) correspondant au minimum à 0,1% au du montant annuel du plafond de la SS</t>
  </si>
  <si>
    <t xml:space="preserve">Prélèvement sur la participation des employeurs à l'effort de construction (PEEC)</t>
  </si>
  <si>
    <t xml:space="preserve">L313-3</t>
  </si>
  <si>
    <t xml:space="preserve">PEFPC : Participation au financement de la formation des professions non salariées (Peche et culture) correspondant au minimum à 0,15% au du montant annuel du plafond de la SS</t>
  </si>
  <si>
    <t xml:space="preserve">Contribution spécifique à la formation professionnelle pour Saint Pierre et Miquelon</t>
  </si>
  <si>
    <t xml:space="preserve">L6523-1-5</t>
  </si>
  <si>
    <t xml:space="preserve">Autres assiettes famille — Régime général et FSV</t>
  </si>
  <si>
    <t xml:space="preserve">Maladie, famille, accidents et prévoyance</t>
  </si>
  <si>
    <t xml:space="preserve">L241-2</t>
  </si>
  <si>
    <t xml:space="preserve">Autres cotisations et contributions sociales diverses (maladie) — Régime général et FSV</t>
  </si>
  <si>
    <t xml:space="preserve">Autres cotisations et contributions sociales diverses FSV — Régime des salariés agricoles</t>
  </si>
  <si>
    <t xml:space="preserve">Autres cotisations, majorations et pénalités</t>
  </si>
  <si>
    <t xml:space="preserve">Autres cotisations sociales AT-MP — Régime général et FSV</t>
  </si>
  <si>
    <t xml:space="preserve">Autres cotisations sociales Vieillesse — Régime des exploitants agricoles</t>
  </si>
  <si>
    <t xml:space="preserve">L243-5</t>
  </si>
  <si>
    <t xml:space="preserve">Autres cotisations sociales Vieillesse — Régime des salariés agricoles</t>
  </si>
  <si>
    <t xml:space="preserve">Autres cotisations sociales et majorations Ensemble des risques — Caisse nationale d'assurance vieillesse des professions libérales</t>
  </si>
  <si>
    <t xml:space="preserve">Autres cotisations sociales et majorations Vieillesse — Régime spécial des industries électriques et gazières (CNIEG)</t>
  </si>
  <si>
    <t xml:space="preserve">Autres cotisations sociales maladie (dont assurés volontaires) — Régime général et FSV</t>
  </si>
  <si>
    <t xml:space="preserve">Autres cotisations sociales vieillesse — Régime général et FSV</t>
  </si>
  <si>
    <t xml:space="preserve">Autres cotisations sociales — Caisse nationale d'assurance vieillesse des professions libérales</t>
  </si>
  <si>
    <t xml:space="preserve">Autres cotisations, majorations et pénalités — Régime spécial des fonctionnaires territoriaux et hospitaliers</t>
  </si>
  <si>
    <t xml:space="preserve">Contribution au fonds d'assurance formation des chefs d'entreprise inscrite au répertoire des métiers</t>
  </si>
  <si>
    <t xml:space="preserve">L6331-48</t>
  </si>
  <si>
    <t xml:space="preserve">Contribution aux unions régionales des professionnels de santé (CURPS)</t>
  </si>
  <si>
    <t xml:space="preserve">L4031-3</t>
  </si>
  <si>
    <t xml:space="preserve">Contribution de l'employeur principal AT-MP — Régime spécial des industries électriques et gazières (CNIEG)</t>
  </si>
  <si>
    <t xml:space="preserve">Contribution des diffuseurs d'œuvres au financement de la protection sociale des artistes auteurs</t>
  </si>
  <si>
    <t xml:space="preserve">L382-4</t>
  </si>
  <si>
    <t xml:space="preserve">Contribution des employeurs de main-d'œuvre étrangère permanente</t>
  </si>
  <si>
    <t xml:space="preserve">Contribution des employeurs de main-d'œuvre étrangère saisonnière</t>
  </si>
  <si>
    <t xml:space="preserve">Contribution des employeurs de main-d'œuvre étrangère temporaire</t>
  </si>
  <si>
    <t xml:space="preserve">Contribution supplémentaire au financement de l'assurance chômage</t>
  </si>
  <si>
    <t xml:space="preserve">Chômage</t>
  </si>
  <si>
    <t xml:space="preserve">Contribution sur les indemnités de rupture conventionnelle</t>
  </si>
  <si>
    <t xml:space="preserve">Contributions chômage Unédic</t>
  </si>
  <si>
    <t xml:space="preserve">Contributions d'équilibre de l'employeur principal Régime SNCF</t>
  </si>
  <si>
    <t xml:space="preserve">Cotisation au profit des caisses d’assurances d’accidents agricoles d’Alsace-Moselle</t>
  </si>
  <si>
    <t xml:space="preserve">L761-5</t>
  </si>
  <si>
    <t xml:space="preserve">Cotisation des employeurs</t>
  </si>
  <si>
    <t xml:space="preserve">L813-4</t>
  </si>
  <si>
    <t xml:space="preserve">Cotisations AT-MP salariés — Régime de retraite des fonctionnaires civils et militaires de l'État</t>
  </si>
  <si>
    <t xml:space="preserve">Cotisations AT-MP salariés — Régime des salariés agricoles</t>
  </si>
  <si>
    <t xml:space="preserve">Cotisations AT-MP salariés — Régime général +FSV</t>
  </si>
  <si>
    <t xml:space="preserve">Cotisations Famille non-salariés — Régime général et FSV</t>
  </si>
  <si>
    <t xml:space="preserve">Cotisations Famille salariés — Régime général +FSV</t>
  </si>
  <si>
    <t xml:space="preserve">Cotisations IJ exploitants</t>
  </si>
  <si>
    <t xml:space="preserve">Cotisations Maladie non-salariés — Régime général et FSV</t>
  </si>
  <si>
    <t xml:space="preserve">Cotisations Maladie salariés — Régime général +FSV</t>
  </si>
  <si>
    <t xml:space="preserve">Cotisations Vieillesse salariés — Régime de retraite des fonctionnaires civils et militaires de l'État</t>
  </si>
  <si>
    <t xml:space="preserve">Cotisations Vieillesse salariés — Régime des salariés agricoles</t>
  </si>
  <si>
    <t xml:space="preserve">Cotisations Vieillesse — Régime des salariés agricoles</t>
  </si>
  <si>
    <t xml:space="preserve">Cotisations avantages spécifiques IEG</t>
  </si>
  <si>
    <t xml:space="preserve">Cotisations conjoints collaborateurs Vieillesse — Caisse nationale d'assurance vieillesse des professions libérales</t>
  </si>
  <si>
    <t xml:space="preserve">Cotisations conjoints collaborateurs — Caisse nationale d'assurance vieillesse des professions libérales</t>
  </si>
  <si>
    <t xml:space="preserve">Cotisations d'équilibre de l'employeur principal — Régime spécial des fonctionnaires territoriaux et hospitaliers</t>
  </si>
  <si>
    <t xml:space="preserve">Cotisations décès - CIPAV</t>
  </si>
  <si>
    <t xml:space="preserve">Cotisations décès - CNIEG</t>
  </si>
  <si>
    <t xml:space="preserve">Cotisations institutions de prévoyance</t>
  </si>
  <si>
    <t xml:space="preserve">Cotisations invalidité - CIPAV</t>
  </si>
  <si>
    <t xml:space="preserve">Cotisations invalidité - CNIEG</t>
  </si>
  <si>
    <t xml:space="preserve">Cotisations médecine du travail</t>
  </si>
  <si>
    <t xml:space="preserve">Cotisations patronales "décès" Vieillesse — Régime spécial des industries électriques et gazières (CNIEG)</t>
  </si>
  <si>
    <t xml:space="preserve">Cotisations patronales "décès", "invalidité" et "AT-MP" Ensemble des risques — Régime spécial des industries électriques et gazières (CNIEG)</t>
  </si>
  <si>
    <t xml:space="preserve">Cotisations patronales "vieillesse" non plafonnées Vieillesse — Régime spécial des industries électriques et gazières (CNIEG)</t>
  </si>
  <si>
    <t xml:space="preserve">Cotisations patronales Vieillesse — Caisse autonome nationale de sécurité sociale dans les mines</t>
  </si>
  <si>
    <t xml:space="preserve">Cotisations patronales Vieillesse — Régime spécial des agents de la RATP</t>
  </si>
  <si>
    <t xml:space="preserve">Cotisations patronales brutes Vieillesse — Régime spécial des agents de la SNCF</t>
  </si>
  <si>
    <t xml:space="preserve">Cotisations patronales non plafonnées AT-MP — Caisse autonome nationale de sécurité sociale dans les mines</t>
  </si>
  <si>
    <t xml:space="preserve">Cotisations patronales non plafonnées Maladie-invalidité — Régime spécial des industries électriques et gazières (CNIEG)</t>
  </si>
  <si>
    <t xml:space="preserve">Cotisations patronales vieillesse — Caisse de retraite et de prévoyance des clercs et employés de notaires</t>
  </si>
  <si>
    <t xml:space="preserve">Cotisations patronales — Régime de retraite des fonctionnaires civils et militaires de l'État</t>
  </si>
  <si>
    <t xml:space="preserve">Cotisations prévoyance des affiliés — Régime spécial des agents de la RATP</t>
  </si>
  <si>
    <t xml:space="preserve">Cotisations prévoyance patronales — Régime spécial des agents de la RATP</t>
  </si>
  <si>
    <t xml:space="preserve">Cotisations régime complémentaire</t>
  </si>
  <si>
    <t xml:space="preserve">Cotisations salariales "vieillesse" non plafonnées Vieillesse — Régime spécial des industries électriques et gazières (CNIEG)</t>
  </si>
  <si>
    <t xml:space="preserve">Cotisations salariales "vieillesse" non plafonnées ensemble des risques — Caisse autonome nationale de sécurité sociale dans les mines</t>
  </si>
  <si>
    <t xml:space="preserve">Cotisations salariales Vieillesse — Établissement national des invalides de la marine (ENIM)</t>
  </si>
  <si>
    <t xml:space="preserve">Cotisations salariales brutes Vieillesse — Régime spécial des agents de la SNCF</t>
  </si>
  <si>
    <t xml:space="preserve">Cotisations salariales tous risques — Fonds spécial des pensions des ouvriers des établissements industriels de l'État (FSPOEIE)</t>
  </si>
  <si>
    <t xml:space="preserve">Cotisations salariales — Autres régimes</t>
  </si>
  <si>
    <t xml:space="preserve">Cotisations salariales — Régime général et FSV</t>
  </si>
  <si>
    <t xml:space="preserve">Cotisations salariales — Régime spécial des fonctionnaires territoriaux et hospitaliers</t>
  </si>
  <si>
    <t xml:space="preserve">Cotisations salariales — Régime spécial des industries électriques et gazières (CNIEG)</t>
  </si>
  <si>
    <t xml:space="preserve">Cotisations sociales - brutes BdF — Autres régimes</t>
  </si>
  <si>
    <t xml:space="preserve">Cotisations sociales - brutes CAVIMAC — autres régimes</t>
  </si>
  <si>
    <t xml:space="preserve">Cotisations sociales - brutes CNBF — autres régimes</t>
  </si>
  <si>
    <t xml:space="preserve">Cotisations sociales AT-MP — Établissement national des invalides de la marine (ENIM)</t>
  </si>
  <si>
    <t xml:space="preserve">Cotisations sociales brutes Vieillesse — Caisse de retraite et de prévoyance des clercs et employés de notaires</t>
  </si>
  <si>
    <t xml:space="preserve">Cotisations sociales non-salariés Vieillesse — Régime des exploitants agricoles</t>
  </si>
  <si>
    <t xml:space="preserve">Cotisations sociales provisionnelles — Caisse nationale d'assurance vieillesse des professions libérales</t>
  </si>
  <si>
    <t xml:space="preserve">Cotisations sociales régularisation — Caisse nationale d'assurance vieillesse des professions libérales</t>
  </si>
  <si>
    <t xml:space="preserve">Cotisations sur les émoluments de notaires Vieillesse — Caisse de retraite et de prévoyance des clercs et employés de notaires</t>
  </si>
  <si>
    <t xml:space="preserve">Cotisations vieillesse + maladie — Fonds spécial des pensions des ouvriers des établissements industriels de l'État (FSPOEIE)</t>
  </si>
  <si>
    <t xml:space="preserve">Cotisations vieillesse + maladie — Régime spécial des fonctionnaires territoriaux et hospitaliers</t>
  </si>
  <si>
    <t xml:space="preserve">Cotisations vieillesse non-salariés — Régime des exploitants agricoles</t>
  </si>
  <si>
    <t xml:space="preserve">Cotisations vieillesse non-salariés — Régime général et FSV</t>
  </si>
  <si>
    <t xml:space="preserve">Financement des congés individuels de formation des salariés sous contrats à durée déterminée CIF-CDD</t>
  </si>
  <si>
    <t xml:space="preserve">Versement transport dû par les entreprises de plus de 11 salariés implantées en province</t>
  </si>
  <si>
    <t xml:space="preserve">Taxe sur les conventions d'assurance</t>
  </si>
  <si>
    <t xml:space="preserve">Assurance</t>
  </si>
  <si>
    <t xml:space="preserve">dont assurances</t>
  </si>
  <si>
    <t xml:space="preserve">maintenu à part</t>
  </si>
  <si>
    <t xml:space="preserve">991</t>
  </si>
  <si>
    <t xml:space="preserve">schéma — colonne « Taxes à supprimer » vide, ce qui vaut maintien</t>
  </si>
  <si>
    <t xml:space="preserve">reclassé le 20261015 : ligne du schéma sans valeur en colonne « Taxes à supprimer »</t>
  </si>
  <si>
    <t xml:space="preserve">Accise sur les tabacs, en métropole (hors Corse)</t>
  </si>
  <si>
    <t xml:space="preserve">Tabacs</t>
  </si>
  <si>
    <t xml:space="preserve">L314-1</t>
  </si>
  <si>
    <t xml:space="preserve">Accise sur les énergies, perçue sur les gazoles et les essences, en métropole [part régionale]</t>
  </si>
  <si>
    <t xml:space="preserve">Énergies</t>
  </si>
  <si>
    <t xml:space="preserve">dont énergie*</t>
  </si>
  <si>
    <t xml:space="preserve">M-030 — accise sur une énergie fossile, exception nommée</t>
  </si>
  <si>
    <t xml:space="preserve">Accise sur les énergies, perçue sur les gazoles et les essences, en métropole [fractions transférées en compensation du transfert du RMI/RSA et dans le cadre de l'acte II de la décentralisation]</t>
  </si>
  <si>
    <t xml:space="preserve">Accise sur les énergies, perçue sur l'électricité et les combustibles (accise sur les énergies de chauffage), composante modulée en fonction des coûts de la péréquation tarifaire</t>
  </si>
  <si>
    <t xml:space="preserve">L312-1</t>
  </si>
  <si>
    <t xml:space="preserve">M-030 — l'électricité n'est pas un produit à effets négatifs et à dépendance forte</t>
  </si>
  <si>
    <t xml:space="preserve">Droits de consommation sur les alcools</t>
  </si>
  <si>
    <t xml:space="preserve">Alcools</t>
  </si>
  <si>
    <t xml:space="preserve">L313-2</t>
  </si>
  <si>
    <t xml:space="preserve">Droit d'octroi de mer et droit d'octroi de mer régional</t>
  </si>
  <si>
    <t xml:space="preserve">Importations, octroi de mer et outre-mer</t>
  </si>
  <si>
    <t xml:space="preserve">dont outre-mer</t>
  </si>
  <si>
    <t xml:space="preserve">Accise sur les énergies perçue en métropole sur les produits autres que les charbons, les gaz naturels et l’électricité</t>
  </si>
  <si>
    <t xml:space="preserve">Droit sur les bières et les boissons non alcoolisées</t>
  </si>
  <si>
    <t xml:space="preserve">Accise sur les carburants, à l'exception du gaz naturel carburant</t>
  </si>
  <si>
    <t xml:space="preserve">Accise sur les énergies, perçue sur l'électricité — part communes et EPCI</t>
  </si>
  <si>
    <t xml:space="preserve">Taxe de séjour, taxe de séjour forfaitaire</t>
  </si>
  <si>
    <t xml:space="preserve">Hébergement et séjour</t>
  </si>
  <si>
    <t xml:space="preserve">dont taxe de séjour</t>
  </si>
  <si>
    <t xml:space="preserve">L2333-26</t>
  </si>
  <si>
    <t xml:space="preserve">Accise sur les énergies, perçue sur l'électricité — part départements et métropole de Lyon</t>
  </si>
  <si>
    <t xml:space="preserve">Cotisation spéciale sur les boissons alcooliques</t>
  </si>
  <si>
    <t xml:space="preserve">L245-7</t>
  </si>
  <si>
    <t xml:space="preserve">Prélèvement sur les contrats d'assurance de biens</t>
  </si>
  <si>
    <t xml:space="preserve">Accise sur les énergies, fraction perçue sur les carburants, outre-mer</t>
  </si>
  <si>
    <t xml:space="preserve">Droit de licence sur la rémunération des débitants de tabacs</t>
  </si>
  <si>
    <t xml:space="preserve">L568</t>
  </si>
  <si>
    <t xml:space="preserve">Taxe additionnelle départementale à la taxe de séjour</t>
  </si>
  <si>
    <t xml:space="preserve">L3333-1</t>
  </si>
  <si>
    <t xml:space="preserve">Accise sur les tabacs, en Corse</t>
  </si>
  <si>
    <t xml:space="preserve">Accise sur les alcools, percue sur les catégories fiscales autre celle des alcools</t>
  </si>
  <si>
    <t xml:space="preserve">Contributions additionnelles aux primes ou cotisations afférentes à certaines conventions d'assurance</t>
  </si>
  <si>
    <t xml:space="preserve">1635 bis A</t>
  </si>
  <si>
    <t xml:space="preserve">Contribution des assurés</t>
  </si>
  <si>
    <t xml:space="preserve">Taxe sur les remontées mécaniques</t>
  </si>
  <si>
    <t xml:space="preserve">L2333-49</t>
  </si>
  <si>
    <t xml:space="preserve">Taxe additionnelle régionale de 15% à la taxe de séjour IDF</t>
  </si>
  <si>
    <t xml:space="preserve">Accise sur les alcools, majoration outre-mer perçue sur les spiritueux locaux</t>
  </si>
  <si>
    <t xml:space="preserve">Taxe de ski de fond</t>
  </si>
  <si>
    <t xml:space="preserve">L2333-81</t>
  </si>
  <si>
    <t xml:space="preserve">Accise sur les tabacs, outre-mer</t>
  </si>
  <si>
    <t xml:space="preserve">Contribution additionnelle aux primes ou cotisations d'assurance afférentes aux conventions d'assurance couvrant à titre exclusif ou principal les dommages aux sols, récoltes, cultures, bâtiments, et au cheptel mort ou vif affectés aux exploitations agricoles</t>
  </si>
  <si>
    <t xml:space="preserve">Contribution sociale à la charge des fournisseurs agréés de produits de tabac</t>
  </si>
  <si>
    <t xml:space="preserve">L137-27</t>
  </si>
  <si>
    <t xml:space="preserve">Droits d'importation</t>
  </si>
  <si>
    <t xml:space="preserve">Droits de place</t>
  </si>
  <si>
    <t xml:space="preserve">L2224-18</t>
  </si>
  <si>
    <t xml:space="preserve">Majoration de la taxe sur les assurances de protection juridique au profit du Conseil national des barreaux</t>
  </si>
  <si>
    <t xml:space="preserve">Prélèvement sur le produit des primes ou cotisations additionnelles relatives à la garantie contre le risque de catastrophes naturelles</t>
  </si>
  <si>
    <t xml:space="preserve">L561-3</t>
  </si>
  <si>
    <t xml:space="preserve">Soulte rhum et tafias</t>
  </si>
  <si>
    <t xml:space="preserve">Taxe additionnelle à la taxe de séjour dans les départements de l'Hérault, de l'Aude et des Pyrénées-Orientales</t>
  </si>
  <si>
    <t xml:space="preserve">L4332-6</t>
  </si>
  <si>
    <t xml:space="preserve">Taxe additionnelle à la taxe de séjour dans les départements de la Gironde, des Landes, du Lot-et-Garonne, des Pyrénées-Atlantiques, de la Haute-Garonne, du Gers, des Hautes-Pyrénées, de l'Ariège, du Lot, du Tarn et du Tarn-et-Garonne</t>
  </si>
  <si>
    <t xml:space="preserve">L4332-5</t>
  </si>
  <si>
    <t xml:space="preserve">Taxe additionnelle à la taxe de séjour dans les départements des Bouches-du-Rhône, du Var et des Alpes-Maritimes</t>
  </si>
  <si>
    <t xml:space="preserve">L4332-4</t>
  </si>
  <si>
    <t xml:space="preserve">Taxe incitative relative à l'utilisation d'énergie renouvelable dans le transport (TIRUERT)</t>
  </si>
  <si>
    <t xml:space="preserve">266 quindecies</t>
  </si>
  <si>
    <t xml:space="preserve">Taxe intérieure de consommation sur les produits énergétiques (TICPE) - part Grenelle</t>
  </si>
  <si>
    <t xml:space="preserve">94</t>
  </si>
  <si>
    <t xml:space="preserve">Taxe sur les boissons "premix"</t>
  </si>
  <si>
    <t xml:space="preserve">Taxe sur les primes d'assurances</t>
  </si>
  <si>
    <t xml:space="preserve">Forfait social</t>
  </si>
  <si>
    <t xml:space="preserve">dont forfaits de cotisation</t>
  </si>
  <si>
    <t xml:space="preserve">Contribution solidarité autonomie (CSA)</t>
  </si>
  <si>
    <t xml:space="preserve">137-40</t>
  </si>
  <si>
    <t xml:space="preserve">Recettes issues de la mise aux enchères des "quotas carbone"</t>
  </si>
  <si>
    <t xml:space="preserve">hors champ</t>
  </si>
  <si>
    <t xml:space="preserve">8. Hors champ</t>
  </si>
  <si>
    <t xml:space="preserve">Produits non fiscaux portés aux documents budgétaires</t>
  </si>
  <si>
    <t xml:space="preserve">assiette 8 — produit non fiscal, non imposition</t>
  </si>
  <si>
    <t xml:space="preserve">Fraction des produits annuels de la vente de biens confisqués</t>
  </si>
  <si>
    <t xml:space="preserve">Quote-part des intérêts servis par la Caisse des dépôts et consignations sur les fonds déposés</t>
  </si>
  <si>
    <t xml:space="preserve">L663-3</t>
  </si>
  <si>
    <t xml:space="preserve">TRI DES PRÉLÈVEMENTS OBLIGATOIRES — SYNTHÈSE PAR SORT</t>
  </si>
  <si>
    <t xml:space="preserve">Vocabulaire du schéma « Refonte fiscalité ». Aucun prélèvement ne disparaît sans contrepartie : son produit est repris, soit par l’impôt qui l’absorbe, soit par les hausses d’équilibre des quatre impôts conservés.</t>
  </si>
  <si>
    <t xml:space="preserve">Nombre</t>
  </si>
  <si>
    <t xml:space="preserve">Part</t>
  </si>
  <si>
    <t xml:space="preserve">Total</t>
  </si>
  <si>
    <t xml:space="preserve">Source : chantier/referentiels/prelevements_forces_20260930.tsv, colonne rang, et onglet « Refonte fiscalité » de Synthèse Calculs Résolution.</t>
  </si>
  <si>
    <t xml:space="preserve">65 rangs reclassés le 15 octobre 2026 : classés non rattachables alors qu’ils portaient un impôt principal.</t>
  </si>
  <si>
    <t xml:space="preserve">21 rangs reclassés en maintenu à part : lignes du schéma sans valeur en colonne « Taxes à supprimer » — assurances, taxe de séjour, outre-mer, forfaits de cotisation.</t>
  </si>
  <si>
    <t xml:space="preserve">188 rangs sur 420 n’ont pas de rendement 2026 isolé à la source. Un rendement vide ne vaut pas zéro.</t>
  </si>
  <si>
    <t xml:space="preserve">TRI DES PRÉLÈVEMENTS — SYNTHÈSE PAR NATURE</t>
  </si>
  <si>
    <t xml:space="preserve">Les cotisations et les contributions sociales sont suivies à part de bout en bout. Elles sont un prélèvement comme un autre, et le tri les traite comme tel sans cesser de les distinguer.</t>
  </si>
  <si>
    <t xml:space="preserve">Les trois premières assiettes du tri — cotisations sociales, contributions sociales sur les revenus, taxes sur la masse salariale — forment la famille « prélèvement social », 129 rangs.</t>
  </si>
  <si>
    <t xml:space="preserve">Prélèvements fondus</t>
  </si>
  <si>
    <t xml:space="preserve">Rendement repris 2026 (M€)</t>
  </si>
  <si>
    <t xml:space="preserve">Total fondu par rattachement</t>
  </si>
  <si>
    <t xml:space="preserve">Les prélèvements fondus dans l’équilibre ne portent pas d’impôt absorbant : leur produit est repris par les hausses d’équilibre des quatre impôts conservés.</t>
  </si>
  <si>
    <t xml:space="preserve">LES PRÉLÈVEMENTS MAINTENUS À PART</t>
  </si>
  <si>
    <t xml:space="preserve">Un prélèvement maintenu à part n’est pas conservé pour lui-même : il demeure comme complément de l’impôt qu’il prolonge, parce que le schéma ne lui assigne aucune suppression.</t>
  </si>
  <si>
    <t xml:space="preserve">Catégorie maintenue</t>
  </si>
  <si>
    <t xml:space="preserve">Rangs</t>
  </si>
  <si>
    <t xml:space="preserve">Point</t>
  </si>
  <si>
    <t xml:space="preserve">Mesure au 15 octobre 2026</t>
  </si>
  <si>
    <t xml:space="preserve">État</t>
  </si>
  <si>
    <t xml:space="preserve">Rangs sans rendement 2026</t>
  </si>
  <si>
    <t xml:space="preserve">188 sur 420, soit 45 %</t>
  </si>
  <si>
    <t xml:space="preserve">ouvert</t>
  </si>
  <si>
    <t xml:space="preserve">Sièges juridiques non établis</t>
  </si>
  <si>
    <t xml:space="preserve">105 sur 420, soit un quart</t>
  </si>
  <si>
    <t xml:space="preserve">Écart au manifeste</t>
  </si>
  <si>
    <t xml:space="preserve">420 rangs relevés contre 438 affichés</t>
  </si>
  <si>
    <t xml:space="preserve">ouvert, non expliqué</t>
  </si>
  <si>
    <t xml:space="preserve">Rapprochement avec les liasses</t>
  </si>
  <si>
    <t xml:space="preserve">aucune colonne ne relie un rang à l’amendement qui le porte</t>
  </si>
  <si>
    <t xml:space="preserve">Contradictions rang / impôt principal</t>
  </si>
  <si>
    <t xml:space="preserve">65</t>
  </si>
  <si>
    <t xml:space="preserve">levé le 15 octobre 2026</t>
  </si>
  <si>
    <t xml:space="preserve">Catégories maintenues manquantes</t>
  </si>
  <si>
    <t xml:space="preserve">21 rangs, quatre lignes du schéma</t>
  </si>
  <si>
    <t xml:space="preserve">Vocabulaire « supprimé »</t>
  </si>
  <si>
    <t xml:space="preserve">retiré, remplacé par les deux formes de fusion</t>
  </si>
  <si>
    <t xml:space="preserve">COMPTEUR TRIMESTRIEL DE LA RESTITUTION</t>
  </si>
  <si>
    <t xml:space="preserve">Paramètres</t>
  </si>
  <si>
    <t xml:space="preserve">Contribution sociale généralisée et contribution pour le remboursement de la dette sociale sur les revenus d’activité. Six marches mensuelles, de juillet à décembre 2027. Le premier semestre 2027 est celui de la mise en place : aucun taux ne bouge.</t>
  </si>
  <si>
    <t xml:space="preserve">Restitution en année pleine (Md€)</t>
  </si>
  <si>
    <t xml:space="preserve">Taux total avant réforme (points)</t>
  </si>
  <si>
    <t xml:space="preserve">Trimestre</t>
  </si>
  <si>
    <t xml:space="preserve">Mois</t>
  </si>
  <si>
    <t xml:space="preserve">Taux total CSG+CRDS (points)</t>
  </si>
  <si>
    <t xml:space="preserve">Restitué dans le mois (Md€)</t>
  </si>
  <si>
    <t xml:space="preserve">Restitué dans le trimestre (Md€)</t>
  </si>
  <si>
    <t xml:space="preserve">Restitué par point et par mois (Md€)</t>
  </si>
  <si>
    <t xml:space="preserve">T1 2027</t>
  </si>
  <si>
    <t xml:space="preserve">janvier à juin</t>
  </si>
  <si>
    <t xml:space="preserve">T2 2027</t>
  </si>
  <si>
    <t xml:space="preserve">T3 2027</t>
  </si>
  <si>
    <t xml:space="preserve">juillet</t>
  </si>
  <si>
    <t xml:space="preserve">août</t>
  </si>
  <si>
    <t xml:space="preserve">septembre</t>
  </si>
  <si>
    <t xml:space="preserve">T4 2027</t>
  </si>
  <si>
    <t xml:space="preserve">octobre</t>
  </si>
  <si>
    <t xml:space="preserve">novembre</t>
  </si>
  <si>
    <t xml:space="preserve">décembre</t>
  </si>
  <si>
    <t xml:space="preserve">Total 2027</t>
  </si>
  <si>
    <t xml:space="preserve">Chaque trimestre de 2028 et au-delà</t>
  </si>
  <si>
    <t xml:space="preserve">L’exposé de l’amendement n° 1 du financement annonce 33,38 Md€ en 2027 et 114,46 Md€ en année pleine dès 2028. L’écart de 0,05 vient de l’arrondi des taux mensuels.</t>
  </si>
  <si>
    <t xml:space="preserve">Au 1er décembre 2027 les deux contributions cessent d’être dues sur ce qui rémunère un travail. La rémunération nette a monté de treize pour cent.</t>
  </si>
  <si>
    <t xml:space="preserve">COMPTEUR PAR AGENT ÉCONOMIQUE</t>
  </si>
  <si>
    <t xml:space="preserve">Qui porte l’effort, et vers qui il va. Chaque mesure d’économie est un transfert : le schéma des flux le nomme ligne par ligne. Le bénéficiaire est partout le même — les actifs.</t>
  </si>
  <si>
    <t xml:space="preserve">Agent économique qui porte l’effort</t>
  </si>
  <si>
    <t xml:space="preserve">Mesures</t>
  </si>
  <si>
    <t xml:space="preserve">Gain année 1 (Md€)</t>
  </si>
  <si>
    <t xml:space="preserve">Gain supplémentaire à terme (Md€)</t>
  </si>
  <si>
    <t xml:space="preserve">Total à terme (Md€)</t>
  </si>
  <si>
    <t xml:space="preserve">Consommateurs et secteurs soutenus</t>
  </si>
  <si>
    <t xml:space="preserve">Taux réduits de TVA · autres impôts et taxes</t>
  </si>
  <si>
    <t xml:space="preserve">Inactifs et revenus exonérés</t>
  </si>
  <si>
    <t xml:space="preserve">Impôt sur le revenu · niches sociales</t>
  </si>
  <si>
    <t xml:space="preserve">Secteurs soutenus par l’impôt</t>
  </si>
  <si>
    <t xml:space="preserve">Secteurs subventionnés</t>
  </si>
  <si>
    <t xml:space="preserve">Aides aux entreprises, État et collectivités · opérateurs</t>
  </si>
  <si>
    <t xml:space="preserve">Secteurs associatifs et populations cibles</t>
  </si>
  <si>
    <t xml:space="preserve">Subventions aux associations · dépenses culturelles</t>
  </si>
  <si>
    <t xml:space="preserve">Bas revenus</t>
  </si>
  <si>
    <t xml:space="preserve">Chèques aux ménages</t>
  </si>
  <si>
    <t xml:space="preserve">Titulaires de marchés publics</t>
  </si>
  <si>
    <t xml:space="preserve">Charges courantes et achats, État et collectivités</t>
  </si>
  <si>
    <t xml:space="preserve">Agents publics, compensés à 70 %</t>
  </si>
  <si>
    <t xml:space="preserve">Départs de fonctionnaires, État et collectivités</t>
  </si>
  <si>
    <t xml:space="preserve">Source : onglet « Flux » de Synthèse Calculs Résolution, colonnes « Gain année 1 », « Gain supp. à terme » et « Total supprimé à terme », regroupées selon la colonne « Effets » qui nomme le transfert.</t>
  </si>
  <si>
    <t xml:space="preserve">Le schéma des flux annonce 129,4 Md€ en année 1, 96,7 Md€ de gain supplémentaire à terme et 226,2 Md€ au total, plus 97 Md€ d’autre gisement.</t>
  </si>
  <si>
    <t xml:space="preserve">Les quatre lignes de niches fiscales du schéma des flux sont réparties ici entre les agents qui en bénéficiaient ; les économies de l’État et des collectivités le sont entre leurs bénéficiaires.</t>
  </si>
</sst>
</file>

<file path=xl/styles.xml><?xml version="1.0" encoding="utf-8"?>
<styleSheet xmlns="http://schemas.openxmlformats.org/spreadsheetml/2006/main">
  <numFmts count="6">
    <numFmt numFmtId="164" formatCode="General"/>
    <numFmt numFmtId="165" formatCode="#,##0.0"/>
    <numFmt numFmtId="166" formatCode="0.0%"/>
    <numFmt numFmtId="167" formatCode="#,##0.00"/>
    <numFmt numFmtId="168" formatCode="#,##0.000"/>
    <numFmt numFmtId="169" formatCode="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i val="true"/>
      <sz val="9"/>
      <name val="Arial"/>
      <family val="0"/>
      <charset val="1"/>
    </font>
    <font>
      <b val="true"/>
      <sz val="10"/>
      <name val="Arial"/>
      <family val="0"/>
      <charset val="1"/>
    </font>
  </fonts>
  <fills count="3">
    <fill>
      <patternFill patternType="none"/>
    </fill>
    <fill>
      <patternFill patternType="gray125"/>
    </fill>
    <fill>
      <patternFill patternType="solid">
        <fgColor rgb="FF1F3A2E"/>
        <bgColor rgb="FF333300"/>
      </patternFill>
    </fill>
  </fills>
  <borders count="2">
    <border diagonalUp="false" diagonalDown="false">
      <left/>
      <right/>
      <top/>
      <bottom/>
      <diagonal/>
    </border>
    <border diagonalUp="false" diagonalDown="false">
      <left/>
      <right/>
      <top/>
      <bottom style="thin">
        <color rgb="FFD8D2C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6" fontId="5" fillId="0" borderId="1"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A2E"/>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8D2C4"/>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3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54"/>
    <col collapsed="false" customWidth="true" hidden="false" outlineLevel="0" max="2" min="2" style="1" width="24"/>
    <col collapsed="false" customWidth="true" hidden="false" outlineLevel="0" max="3" min="3" style="1" width="16"/>
    <col collapsed="false" customWidth="true" hidden="false" outlineLevel="0" max="4" min="4" style="1" width="28"/>
    <col collapsed="false" customWidth="true" hidden="false" outlineLevel="0" max="5" min="5" style="1" width="30"/>
    <col collapsed="false" customWidth="true" hidden="false" outlineLevel="0" max="6" min="6" style="1" width="26"/>
    <col collapsed="false" customWidth="true" hidden="false" outlineLevel="0" max="7" min="7" style="1" width="24"/>
    <col collapsed="false" customWidth="true" hidden="false" outlineLevel="0" max="9" min="8" style="1" width="26"/>
    <col collapsed="false" customWidth="true" hidden="false" outlineLevel="0" max="10" min="10" style="1" width="18"/>
    <col collapsed="false" customWidth="true" hidden="false" outlineLevel="0" max="11" min="11" style="1" width="24"/>
    <col collapsed="false" customWidth="true" hidden="false" outlineLevel="0" max="12" min="12" style="1" width="32"/>
    <col collapsed="false" customWidth="true" hidden="false" outlineLevel="0" max="13" min="13" style="1" width="44"/>
    <col collapsed="false" customWidth="true" hidden="false" outlineLevel="0" max="14" min="14" style="1" width="46"/>
  </cols>
  <sheetData>
    <row r="1" customFormat="false" ht="23.25"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row>
    <row r="2" customFormat="false" ht="15" hidden="false" customHeight="true" outlineLevel="0" collapsed="false">
      <c r="A2" s="3" t="s">
        <v>14</v>
      </c>
      <c r="B2" s="3" t="s">
        <v>15</v>
      </c>
      <c r="C2" s="3" t="s">
        <v>16</v>
      </c>
      <c r="D2" s="3" t="s">
        <v>17</v>
      </c>
      <c r="E2" s="3" t="s">
        <v>18</v>
      </c>
      <c r="F2" s="3" t="s">
        <v>19</v>
      </c>
      <c r="G2" s="3" t="s">
        <v>20</v>
      </c>
      <c r="H2" s="3"/>
      <c r="I2" s="3"/>
      <c r="J2" s="4" t="n">
        <v>242838.2</v>
      </c>
      <c r="K2" s="3" t="s">
        <v>21</v>
      </c>
      <c r="L2" s="3" t="s">
        <v>22</v>
      </c>
      <c r="M2" s="3" t="s">
        <v>23</v>
      </c>
      <c r="N2" s="3"/>
    </row>
    <row r="3" customFormat="false" ht="15" hidden="false" customHeight="true" outlineLevel="0" collapsed="false">
      <c r="A3" s="3" t="s">
        <v>24</v>
      </c>
      <c r="B3" s="3" t="s">
        <v>15</v>
      </c>
      <c r="C3" s="3" t="s">
        <v>16</v>
      </c>
      <c r="D3" s="3" t="s">
        <v>25</v>
      </c>
      <c r="E3" s="3" t="s">
        <v>26</v>
      </c>
      <c r="F3" s="3" t="s">
        <v>27</v>
      </c>
      <c r="G3" s="3" t="s">
        <v>20</v>
      </c>
      <c r="H3" s="3"/>
      <c r="I3" s="3"/>
      <c r="J3" s="4" t="n">
        <v>130178</v>
      </c>
      <c r="K3" s="3" t="s">
        <v>28</v>
      </c>
      <c r="L3" s="3" t="s">
        <v>22</v>
      </c>
      <c r="M3" s="3" t="s">
        <v>23</v>
      </c>
      <c r="N3" s="3"/>
    </row>
    <row r="4" customFormat="false" ht="15" hidden="false" customHeight="true" outlineLevel="0" collapsed="false">
      <c r="A4" s="3" t="s">
        <v>29</v>
      </c>
      <c r="B4" s="3" t="s">
        <v>15</v>
      </c>
      <c r="C4" s="3" t="s">
        <v>16</v>
      </c>
      <c r="D4" s="3" t="s">
        <v>30</v>
      </c>
      <c r="E4" s="3" t="s">
        <v>31</v>
      </c>
      <c r="F4" s="3" t="s">
        <v>32</v>
      </c>
      <c r="G4" s="3" t="s">
        <v>20</v>
      </c>
      <c r="H4" s="3"/>
      <c r="I4" s="3"/>
      <c r="J4" s="4" t="n">
        <v>84694.4</v>
      </c>
      <c r="K4" s="3" t="s">
        <v>33</v>
      </c>
      <c r="L4" s="3" t="s">
        <v>22</v>
      </c>
      <c r="M4" s="3" t="s">
        <v>23</v>
      </c>
      <c r="N4" s="3"/>
    </row>
    <row r="5" customFormat="false" ht="15" hidden="false" customHeight="true" outlineLevel="0" collapsed="false">
      <c r="A5" s="3" t="s">
        <v>34</v>
      </c>
      <c r="B5" s="3" t="s">
        <v>15</v>
      </c>
      <c r="C5" s="3" t="s">
        <v>16</v>
      </c>
      <c r="D5" s="3" t="s">
        <v>35</v>
      </c>
      <c r="E5" s="3" t="s">
        <v>36</v>
      </c>
      <c r="F5" s="3" t="s">
        <v>37</v>
      </c>
      <c r="G5" s="3" t="s">
        <v>20</v>
      </c>
      <c r="H5" s="3"/>
      <c r="I5" s="3"/>
      <c r="J5" s="4"/>
      <c r="K5" s="3" t="s">
        <v>38</v>
      </c>
      <c r="L5" s="3" t="s">
        <v>22</v>
      </c>
      <c r="M5" s="3" t="s">
        <v>23</v>
      </c>
      <c r="N5" s="3"/>
    </row>
    <row r="6" customFormat="false" ht="15" hidden="false" customHeight="true" outlineLevel="0" collapsed="false">
      <c r="A6" s="3" t="s">
        <v>39</v>
      </c>
      <c r="B6" s="3" t="s">
        <v>15</v>
      </c>
      <c r="C6" s="3" t="s">
        <v>16</v>
      </c>
      <c r="D6" s="3" t="s">
        <v>25</v>
      </c>
      <c r="E6" s="3" t="s">
        <v>40</v>
      </c>
      <c r="F6" s="3" t="s">
        <v>27</v>
      </c>
      <c r="G6" s="3" t="s">
        <v>41</v>
      </c>
      <c r="H6" s="3" t="s">
        <v>42</v>
      </c>
      <c r="I6" s="3"/>
      <c r="J6" s="4" t="n">
        <v>4800</v>
      </c>
      <c r="K6" s="3" t="s">
        <v>43</v>
      </c>
      <c r="L6" s="3" t="s">
        <v>22</v>
      </c>
      <c r="M6" s="3" t="s">
        <v>44</v>
      </c>
      <c r="N6" s="3"/>
    </row>
    <row r="7" customFormat="false" ht="15" hidden="false" customHeight="true" outlineLevel="0" collapsed="false">
      <c r="A7" s="3" t="s">
        <v>45</v>
      </c>
      <c r="B7" s="3" t="s">
        <v>15</v>
      </c>
      <c r="C7" s="3" t="s">
        <v>16</v>
      </c>
      <c r="D7" s="3" t="s">
        <v>25</v>
      </c>
      <c r="E7" s="3" t="s">
        <v>40</v>
      </c>
      <c r="F7" s="3" t="s">
        <v>27</v>
      </c>
      <c r="G7" s="3" t="s">
        <v>41</v>
      </c>
      <c r="H7" s="3" t="s">
        <v>42</v>
      </c>
      <c r="I7" s="3"/>
      <c r="J7" s="4" t="n">
        <v>2630</v>
      </c>
      <c r="K7" s="3" t="s">
        <v>46</v>
      </c>
      <c r="L7" s="3" t="s">
        <v>47</v>
      </c>
      <c r="M7" s="3" t="s">
        <v>44</v>
      </c>
      <c r="N7" s="3"/>
    </row>
    <row r="8" customFormat="false" ht="15" hidden="false" customHeight="true" outlineLevel="0" collapsed="false">
      <c r="A8" s="3" t="s">
        <v>48</v>
      </c>
      <c r="B8" s="3" t="s">
        <v>15</v>
      </c>
      <c r="C8" s="3" t="s">
        <v>16</v>
      </c>
      <c r="D8" s="3" t="s">
        <v>25</v>
      </c>
      <c r="E8" s="3" t="s">
        <v>26</v>
      </c>
      <c r="F8" s="3" t="s">
        <v>27</v>
      </c>
      <c r="G8" s="3" t="s">
        <v>41</v>
      </c>
      <c r="H8" s="3" t="s">
        <v>42</v>
      </c>
      <c r="I8" s="3"/>
      <c r="J8" s="4" t="n">
        <v>2414.3</v>
      </c>
      <c r="K8" s="3"/>
      <c r="L8" s="3" t="s">
        <v>49</v>
      </c>
      <c r="M8" s="3" t="s">
        <v>44</v>
      </c>
      <c r="N8" s="3" t="s">
        <v>50</v>
      </c>
    </row>
    <row r="9" customFormat="false" ht="15" hidden="false" customHeight="true" outlineLevel="0" collapsed="false">
      <c r="A9" s="3" t="s">
        <v>51</v>
      </c>
      <c r="B9" s="3" t="s">
        <v>15</v>
      </c>
      <c r="C9" s="3" t="s">
        <v>16</v>
      </c>
      <c r="D9" s="3" t="s">
        <v>25</v>
      </c>
      <c r="E9" s="3" t="s">
        <v>26</v>
      </c>
      <c r="F9" s="3" t="s">
        <v>27</v>
      </c>
      <c r="G9" s="3" t="s">
        <v>41</v>
      </c>
      <c r="H9" s="3" t="s">
        <v>42</v>
      </c>
      <c r="I9" s="3"/>
      <c r="J9" s="4" t="n">
        <v>1650</v>
      </c>
      <c r="K9" s="3" t="s">
        <v>52</v>
      </c>
      <c r="L9" s="3" t="s">
        <v>22</v>
      </c>
      <c r="M9" s="3" t="s">
        <v>44</v>
      </c>
      <c r="N9" s="3"/>
    </row>
    <row r="10" customFormat="false" ht="15" hidden="false" customHeight="true" outlineLevel="0" collapsed="false">
      <c r="A10" s="3" t="s">
        <v>53</v>
      </c>
      <c r="B10" s="3" t="s">
        <v>15</v>
      </c>
      <c r="C10" s="3" t="s">
        <v>16</v>
      </c>
      <c r="D10" s="3" t="s">
        <v>25</v>
      </c>
      <c r="E10" s="3" t="s">
        <v>26</v>
      </c>
      <c r="F10" s="3" t="s">
        <v>27</v>
      </c>
      <c r="G10" s="3" t="s">
        <v>41</v>
      </c>
      <c r="H10" s="3" t="s">
        <v>42</v>
      </c>
      <c r="I10" s="3"/>
      <c r="J10" s="4" t="n">
        <v>1127.9</v>
      </c>
      <c r="K10" s="3" t="s">
        <v>54</v>
      </c>
      <c r="L10" s="3" t="s">
        <v>22</v>
      </c>
      <c r="M10" s="3" t="s">
        <v>44</v>
      </c>
      <c r="N10" s="3"/>
    </row>
    <row r="11" customFormat="false" ht="15" hidden="false" customHeight="true" outlineLevel="0" collapsed="false">
      <c r="A11" s="3" t="s">
        <v>55</v>
      </c>
      <c r="B11" s="3" t="s">
        <v>15</v>
      </c>
      <c r="C11" s="3" t="s">
        <v>16</v>
      </c>
      <c r="D11" s="3" t="s">
        <v>25</v>
      </c>
      <c r="E11" s="3" t="s">
        <v>56</v>
      </c>
      <c r="F11" s="3" t="s">
        <v>27</v>
      </c>
      <c r="G11" s="3" t="s">
        <v>41</v>
      </c>
      <c r="H11" s="3" t="s">
        <v>42</v>
      </c>
      <c r="I11" s="3"/>
      <c r="J11" s="4" t="n">
        <v>17</v>
      </c>
      <c r="K11" s="3" t="s">
        <v>57</v>
      </c>
      <c r="L11" s="3" t="s">
        <v>47</v>
      </c>
      <c r="M11" s="3" t="s">
        <v>44</v>
      </c>
      <c r="N11" s="3"/>
    </row>
    <row r="12" customFormat="false" ht="15" hidden="false" customHeight="true" outlineLevel="0" collapsed="false">
      <c r="A12" s="3" t="s">
        <v>58</v>
      </c>
      <c r="B12" s="3" t="s">
        <v>15</v>
      </c>
      <c r="C12" s="3" t="s">
        <v>16</v>
      </c>
      <c r="D12" s="3" t="s">
        <v>25</v>
      </c>
      <c r="E12" s="3" t="s">
        <v>59</v>
      </c>
      <c r="F12" s="3" t="s">
        <v>27</v>
      </c>
      <c r="G12" s="3" t="s">
        <v>41</v>
      </c>
      <c r="H12" s="3" t="s">
        <v>42</v>
      </c>
      <c r="I12" s="3"/>
      <c r="J12" s="4"/>
      <c r="K12" s="3" t="s">
        <v>60</v>
      </c>
      <c r="L12" s="3" t="s">
        <v>22</v>
      </c>
      <c r="M12" s="3" t="s">
        <v>44</v>
      </c>
      <c r="N12" s="3"/>
    </row>
    <row r="13" customFormat="false" ht="15" hidden="false" customHeight="true" outlineLevel="0" collapsed="false">
      <c r="A13" s="3" t="s">
        <v>61</v>
      </c>
      <c r="B13" s="3" t="s">
        <v>15</v>
      </c>
      <c r="C13" s="3" t="s">
        <v>16</v>
      </c>
      <c r="D13" s="3" t="s">
        <v>25</v>
      </c>
      <c r="E13" s="3" t="s">
        <v>56</v>
      </c>
      <c r="F13" s="3" t="s">
        <v>27</v>
      </c>
      <c r="G13" s="3" t="s">
        <v>41</v>
      </c>
      <c r="H13" s="3" t="s">
        <v>42</v>
      </c>
      <c r="I13" s="3"/>
      <c r="J13" s="4"/>
      <c r="K13" s="3" t="s">
        <v>62</v>
      </c>
      <c r="L13" s="3" t="s">
        <v>22</v>
      </c>
      <c r="M13" s="3" t="s">
        <v>44</v>
      </c>
      <c r="N13" s="3"/>
    </row>
    <row r="14" customFormat="false" ht="15" hidden="false" customHeight="true" outlineLevel="0" collapsed="false">
      <c r="A14" s="3" t="s">
        <v>63</v>
      </c>
      <c r="B14" s="3" t="s">
        <v>15</v>
      </c>
      <c r="C14" s="3" t="s">
        <v>16</v>
      </c>
      <c r="D14" s="3" t="s">
        <v>25</v>
      </c>
      <c r="E14" s="3" t="s">
        <v>40</v>
      </c>
      <c r="F14" s="3" t="s">
        <v>27</v>
      </c>
      <c r="G14" s="3" t="s">
        <v>41</v>
      </c>
      <c r="H14" s="3" t="s">
        <v>42</v>
      </c>
      <c r="I14" s="3"/>
      <c r="J14" s="4"/>
      <c r="K14" s="3"/>
      <c r="L14" s="3" t="s">
        <v>49</v>
      </c>
      <c r="M14" s="3" t="s">
        <v>44</v>
      </c>
      <c r="N14" s="3"/>
    </row>
    <row r="15" customFormat="false" ht="15" hidden="false" customHeight="true" outlineLevel="0" collapsed="false">
      <c r="A15" s="3" t="s">
        <v>64</v>
      </c>
      <c r="B15" s="3" t="s">
        <v>15</v>
      </c>
      <c r="C15" s="3" t="s">
        <v>16</v>
      </c>
      <c r="D15" s="3" t="s">
        <v>25</v>
      </c>
      <c r="E15" s="3" t="s">
        <v>40</v>
      </c>
      <c r="F15" s="3" t="s">
        <v>27</v>
      </c>
      <c r="G15" s="3" t="s">
        <v>41</v>
      </c>
      <c r="H15" s="3" t="s">
        <v>42</v>
      </c>
      <c r="I15" s="3"/>
      <c r="J15" s="4"/>
      <c r="K15" s="3" t="s">
        <v>65</v>
      </c>
      <c r="L15" s="3" t="s">
        <v>22</v>
      </c>
      <c r="M15" s="3" t="s">
        <v>44</v>
      </c>
      <c r="N15" s="3"/>
    </row>
    <row r="16" customFormat="false" ht="15" hidden="false" customHeight="true" outlineLevel="0" collapsed="false">
      <c r="A16" s="3" t="s">
        <v>66</v>
      </c>
      <c r="B16" s="3" t="s">
        <v>15</v>
      </c>
      <c r="C16" s="3" t="s">
        <v>16</v>
      </c>
      <c r="D16" s="3" t="s">
        <v>25</v>
      </c>
      <c r="E16" s="3" t="s">
        <v>56</v>
      </c>
      <c r="F16" s="3" t="s">
        <v>27</v>
      </c>
      <c r="G16" s="3" t="s">
        <v>41</v>
      </c>
      <c r="H16" s="3" t="s">
        <v>42</v>
      </c>
      <c r="I16" s="3"/>
      <c r="J16" s="4"/>
      <c r="K16" s="3" t="s">
        <v>67</v>
      </c>
      <c r="L16" s="3" t="s">
        <v>22</v>
      </c>
      <c r="M16" s="3" t="s">
        <v>44</v>
      </c>
      <c r="N16" s="3"/>
    </row>
    <row r="17" customFormat="false" ht="15" hidden="false" customHeight="true" outlineLevel="0" collapsed="false">
      <c r="A17" s="3" t="s">
        <v>68</v>
      </c>
      <c r="B17" s="3" t="s">
        <v>15</v>
      </c>
      <c r="C17" s="3" t="s">
        <v>16</v>
      </c>
      <c r="D17" s="3" t="s">
        <v>30</v>
      </c>
      <c r="E17" s="3" t="s">
        <v>31</v>
      </c>
      <c r="F17" s="3" t="s">
        <v>69</v>
      </c>
      <c r="G17" s="3" t="s">
        <v>41</v>
      </c>
      <c r="H17" s="3" t="s">
        <v>29</v>
      </c>
      <c r="I17" s="3"/>
      <c r="J17" s="4" t="n">
        <v>5452.3</v>
      </c>
      <c r="K17" s="3" t="s">
        <v>70</v>
      </c>
      <c r="L17" s="3" t="s">
        <v>47</v>
      </c>
      <c r="M17" s="3" t="s">
        <v>71</v>
      </c>
      <c r="N17" s="3"/>
    </row>
    <row r="18" customFormat="false" ht="15" hidden="false" customHeight="true" outlineLevel="0" collapsed="false">
      <c r="A18" s="3" t="s">
        <v>72</v>
      </c>
      <c r="B18" s="3" t="s">
        <v>15</v>
      </c>
      <c r="C18" s="3" t="s">
        <v>16</v>
      </c>
      <c r="D18" s="3" t="s">
        <v>30</v>
      </c>
      <c r="E18" s="3" t="s">
        <v>31</v>
      </c>
      <c r="F18" s="3" t="s">
        <v>69</v>
      </c>
      <c r="G18" s="3" t="s">
        <v>41</v>
      </c>
      <c r="H18" s="3" t="s">
        <v>29</v>
      </c>
      <c r="I18" s="3"/>
      <c r="J18" s="4" t="n">
        <v>4000</v>
      </c>
      <c r="K18" s="3"/>
      <c r="L18" s="3" t="s">
        <v>49</v>
      </c>
      <c r="M18" s="3" t="s">
        <v>71</v>
      </c>
      <c r="N18" s="3"/>
    </row>
    <row r="19" customFormat="false" ht="15" hidden="false" customHeight="true" outlineLevel="0" collapsed="false">
      <c r="A19" s="3" t="s">
        <v>73</v>
      </c>
      <c r="B19" s="3" t="s">
        <v>15</v>
      </c>
      <c r="C19" s="3" t="s">
        <v>16</v>
      </c>
      <c r="D19" s="3" t="s">
        <v>30</v>
      </c>
      <c r="E19" s="3" t="s">
        <v>74</v>
      </c>
      <c r="F19" s="3" t="s">
        <v>75</v>
      </c>
      <c r="G19" s="3" t="s">
        <v>41</v>
      </c>
      <c r="H19" s="3" t="s">
        <v>29</v>
      </c>
      <c r="I19" s="3"/>
      <c r="J19" s="4" t="n">
        <v>2741.3</v>
      </c>
      <c r="K19" s="3" t="s">
        <v>76</v>
      </c>
      <c r="L19" s="3" t="s">
        <v>22</v>
      </c>
      <c r="M19" s="3" t="s">
        <v>77</v>
      </c>
      <c r="N19" s="3"/>
    </row>
    <row r="20" customFormat="false" ht="15" hidden="false" customHeight="true" outlineLevel="0" collapsed="false">
      <c r="A20" s="3" t="s">
        <v>78</v>
      </c>
      <c r="B20" s="3" t="s">
        <v>15</v>
      </c>
      <c r="C20" s="3" t="s">
        <v>16</v>
      </c>
      <c r="D20" s="3" t="s">
        <v>30</v>
      </c>
      <c r="E20" s="3" t="s">
        <v>31</v>
      </c>
      <c r="F20" s="3" t="s">
        <v>69</v>
      </c>
      <c r="G20" s="3" t="s">
        <v>41</v>
      </c>
      <c r="H20" s="3" t="s">
        <v>29</v>
      </c>
      <c r="I20" s="3"/>
      <c r="J20" s="4" t="n">
        <v>1411</v>
      </c>
      <c r="K20" s="3" t="s">
        <v>79</v>
      </c>
      <c r="L20" s="3" t="s">
        <v>22</v>
      </c>
      <c r="M20" s="3" t="s">
        <v>71</v>
      </c>
      <c r="N20" s="3"/>
    </row>
    <row r="21" customFormat="false" ht="15" hidden="false" customHeight="true" outlineLevel="0" collapsed="false">
      <c r="A21" s="3" t="s">
        <v>80</v>
      </c>
      <c r="B21" s="3" t="s">
        <v>15</v>
      </c>
      <c r="C21" s="3" t="s">
        <v>16</v>
      </c>
      <c r="D21" s="3" t="s">
        <v>30</v>
      </c>
      <c r="E21" s="3" t="s">
        <v>81</v>
      </c>
      <c r="F21" s="3" t="s">
        <v>82</v>
      </c>
      <c r="G21" s="3" t="s">
        <v>41</v>
      </c>
      <c r="H21" s="3" t="s">
        <v>29</v>
      </c>
      <c r="I21" s="3"/>
      <c r="J21" s="4" t="n">
        <v>1356</v>
      </c>
      <c r="K21" s="3" t="s">
        <v>83</v>
      </c>
      <c r="L21" s="3" t="s">
        <v>22</v>
      </c>
      <c r="M21" s="3" t="s">
        <v>84</v>
      </c>
      <c r="N21" s="3"/>
    </row>
    <row r="22" customFormat="false" ht="15" hidden="false" customHeight="true" outlineLevel="0" collapsed="false">
      <c r="A22" s="3" t="s">
        <v>85</v>
      </c>
      <c r="B22" s="3" t="s">
        <v>15</v>
      </c>
      <c r="C22" s="3" t="s">
        <v>16</v>
      </c>
      <c r="D22" s="3" t="s">
        <v>30</v>
      </c>
      <c r="E22" s="3" t="s">
        <v>81</v>
      </c>
      <c r="F22" s="3" t="s">
        <v>86</v>
      </c>
      <c r="G22" s="3" t="s">
        <v>41</v>
      </c>
      <c r="H22" s="3" t="s">
        <v>29</v>
      </c>
      <c r="I22" s="3"/>
      <c r="J22" s="4" t="n">
        <v>1210</v>
      </c>
      <c r="K22" s="3" t="s">
        <v>87</v>
      </c>
      <c r="L22" s="3" t="s">
        <v>47</v>
      </c>
      <c r="M22" s="3" t="s">
        <v>84</v>
      </c>
      <c r="N22" s="3"/>
    </row>
    <row r="23" customFormat="false" ht="15" hidden="false" customHeight="true" outlineLevel="0" collapsed="false">
      <c r="A23" s="3" t="s">
        <v>88</v>
      </c>
      <c r="B23" s="3" t="s">
        <v>15</v>
      </c>
      <c r="C23" s="3" t="s">
        <v>16</v>
      </c>
      <c r="D23" s="3" t="s">
        <v>30</v>
      </c>
      <c r="E23" s="3" t="s">
        <v>89</v>
      </c>
      <c r="F23" s="3" t="s">
        <v>75</v>
      </c>
      <c r="G23" s="3" t="s">
        <v>41</v>
      </c>
      <c r="H23" s="3" t="s">
        <v>29</v>
      </c>
      <c r="I23" s="3"/>
      <c r="J23" s="4" t="n">
        <v>793.2</v>
      </c>
      <c r="K23" s="3" t="s">
        <v>90</v>
      </c>
      <c r="L23" s="3" t="s">
        <v>47</v>
      </c>
      <c r="M23" s="3" t="s">
        <v>77</v>
      </c>
      <c r="N23" s="3"/>
    </row>
    <row r="24" customFormat="false" ht="15" hidden="false" customHeight="true" outlineLevel="0" collapsed="false">
      <c r="A24" s="3" t="s">
        <v>91</v>
      </c>
      <c r="B24" s="3" t="s">
        <v>15</v>
      </c>
      <c r="C24" s="3" t="s">
        <v>16</v>
      </c>
      <c r="D24" s="3" t="s">
        <v>30</v>
      </c>
      <c r="E24" s="3" t="s">
        <v>92</v>
      </c>
      <c r="F24" s="3" t="s">
        <v>69</v>
      </c>
      <c r="G24" s="3" t="s">
        <v>41</v>
      </c>
      <c r="H24" s="3" t="s">
        <v>29</v>
      </c>
      <c r="I24" s="3"/>
      <c r="J24" s="4" t="n">
        <v>700</v>
      </c>
      <c r="K24" s="3" t="s">
        <v>93</v>
      </c>
      <c r="L24" s="3" t="s">
        <v>47</v>
      </c>
      <c r="M24" s="3" t="s">
        <v>94</v>
      </c>
      <c r="N24" s="3"/>
    </row>
    <row r="25" customFormat="false" ht="15" hidden="false" customHeight="true" outlineLevel="0" collapsed="false">
      <c r="A25" s="3" t="s">
        <v>95</v>
      </c>
      <c r="B25" s="3" t="s">
        <v>15</v>
      </c>
      <c r="C25" s="3" t="s">
        <v>16</v>
      </c>
      <c r="D25" s="3" t="s">
        <v>30</v>
      </c>
      <c r="E25" s="3" t="s">
        <v>92</v>
      </c>
      <c r="F25" s="3" t="s">
        <v>69</v>
      </c>
      <c r="G25" s="3" t="s">
        <v>41</v>
      </c>
      <c r="H25" s="3" t="s">
        <v>29</v>
      </c>
      <c r="I25" s="3"/>
      <c r="J25" s="4" t="n">
        <v>658.9</v>
      </c>
      <c r="K25" s="3" t="s">
        <v>96</v>
      </c>
      <c r="L25" s="3" t="s">
        <v>47</v>
      </c>
      <c r="M25" s="3" t="s">
        <v>94</v>
      </c>
      <c r="N25" s="3"/>
    </row>
    <row r="26" customFormat="false" ht="15" hidden="false" customHeight="true" outlineLevel="0" collapsed="false">
      <c r="A26" s="3" t="s">
        <v>97</v>
      </c>
      <c r="B26" s="3" t="s">
        <v>15</v>
      </c>
      <c r="C26" s="3" t="s">
        <v>16</v>
      </c>
      <c r="D26" s="3" t="s">
        <v>30</v>
      </c>
      <c r="E26" s="3" t="s">
        <v>98</v>
      </c>
      <c r="F26" s="3" t="s">
        <v>75</v>
      </c>
      <c r="G26" s="3" t="s">
        <v>41</v>
      </c>
      <c r="H26" s="3" t="s">
        <v>29</v>
      </c>
      <c r="I26" s="3"/>
      <c r="J26" s="4" t="n">
        <v>590.2</v>
      </c>
      <c r="K26" s="3" t="s">
        <v>99</v>
      </c>
      <c r="L26" s="3" t="s">
        <v>47</v>
      </c>
      <c r="M26" s="3" t="s">
        <v>77</v>
      </c>
      <c r="N26" s="3"/>
    </row>
    <row r="27" customFormat="false" ht="15" hidden="false" customHeight="true" outlineLevel="0" collapsed="false">
      <c r="A27" s="3" t="s">
        <v>100</v>
      </c>
      <c r="B27" s="3" t="s">
        <v>15</v>
      </c>
      <c r="C27" s="3" t="s">
        <v>16</v>
      </c>
      <c r="D27" s="3" t="s">
        <v>30</v>
      </c>
      <c r="E27" s="3" t="s">
        <v>31</v>
      </c>
      <c r="F27" s="3" t="s">
        <v>69</v>
      </c>
      <c r="G27" s="3" t="s">
        <v>41</v>
      </c>
      <c r="H27" s="3" t="s">
        <v>29</v>
      </c>
      <c r="I27" s="3"/>
      <c r="J27" s="4" t="n">
        <v>500</v>
      </c>
      <c r="K27" s="3" t="s">
        <v>101</v>
      </c>
      <c r="L27" s="3" t="s">
        <v>22</v>
      </c>
      <c r="M27" s="3" t="s">
        <v>71</v>
      </c>
      <c r="N27" s="3"/>
    </row>
    <row r="28" customFormat="false" ht="15" hidden="false" customHeight="true" outlineLevel="0" collapsed="false">
      <c r="A28" s="3" t="s">
        <v>102</v>
      </c>
      <c r="B28" s="3" t="s">
        <v>15</v>
      </c>
      <c r="C28" s="3" t="s">
        <v>16</v>
      </c>
      <c r="D28" s="3" t="s">
        <v>30</v>
      </c>
      <c r="E28" s="3" t="s">
        <v>89</v>
      </c>
      <c r="F28" s="3" t="s">
        <v>75</v>
      </c>
      <c r="G28" s="3" t="s">
        <v>41</v>
      </c>
      <c r="H28" s="3" t="s">
        <v>29</v>
      </c>
      <c r="I28" s="3"/>
      <c r="J28" s="4" t="n">
        <v>376.8</v>
      </c>
      <c r="K28" s="3" t="s">
        <v>103</v>
      </c>
      <c r="L28" s="3" t="s">
        <v>47</v>
      </c>
      <c r="M28" s="3" t="s">
        <v>77</v>
      </c>
      <c r="N28" s="3"/>
    </row>
    <row r="29" customFormat="false" ht="15" hidden="false" customHeight="true" outlineLevel="0" collapsed="false">
      <c r="A29" s="3" t="s">
        <v>104</v>
      </c>
      <c r="B29" s="3" t="s">
        <v>15</v>
      </c>
      <c r="C29" s="3" t="s">
        <v>16</v>
      </c>
      <c r="D29" s="3" t="s">
        <v>30</v>
      </c>
      <c r="E29" s="3" t="s">
        <v>31</v>
      </c>
      <c r="F29" s="3" t="s">
        <v>69</v>
      </c>
      <c r="G29" s="3" t="s">
        <v>41</v>
      </c>
      <c r="H29" s="3" t="s">
        <v>29</v>
      </c>
      <c r="I29" s="3"/>
      <c r="J29" s="4" t="n">
        <v>374</v>
      </c>
      <c r="K29" s="3"/>
      <c r="L29" s="3" t="s">
        <v>49</v>
      </c>
      <c r="M29" s="3" t="s">
        <v>71</v>
      </c>
      <c r="N29" s="3"/>
    </row>
    <row r="30" customFormat="false" ht="15" hidden="false" customHeight="true" outlineLevel="0" collapsed="false">
      <c r="A30" s="3" t="s">
        <v>105</v>
      </c>
      <c r="B30" s="3" t="s">
        <v>15</v>
      </c>
      <c r="C30" s="3" t="s">
        <v>16</v>
      </c>
      <c r="D30" s="3" t="s">
        <v>30</v>
      </c>
      <c r="E30" s="3" t="s">
        <v>74</v>
      </c>
      <c r="F30" s="3" t="s">
        <v>75</v>
      </c>
      <c r="G30" s="3" t="s">
        <v>41</v>
      </c>
      <c r="H30" s="3" t="s">
        <v>29</v>
      </c>
      <c r="I30" s="3"/>
      <c r="J30" s="4" t="n">
        <v>326.3</v>
      </c>
      <c r="K30" s="3"/>
      <c r="L30" s="3" t="s">
        <v>49</v>
      </c>
      <c r="M30" s="3" t="s">
        <v>77</v>
      </c>
      <c r="N30" s="3"/>
    </row>
    <row r="31" customFormat="false" ht="15" hidden="false" customHeight="true" outlineLevel="0" collapsed="false">
      <c r="A31" s="3" t="s">
        <v>106</v>
      </c>
      <c r="B31" s="3" t="s">
        <v>15</v>
      </c>
      <c r="C31" s="3" t="s">
        <v>16</v>
      </c>
      <c r="D31" s="3" t="s">
        <v>30</v>
      </c>
      <c r="E31" s="3" t="s">
        <v>92</v>
      </c>
      <c r="F31" s="3" t="s">
        <v>69</v>
      </c>
      <c r="G31" s="3" t="s">
        <v>41</v>
      </c>
      <c r="H31" s="3" t="s">
        <v>29</v>
      </c>
      <c r="I31" s="3"/>
      <c r="J31" s="4" t="n">
        <v>271.1</v>
      </c>
      <c r="K31" s="3" t="s">
        <v>107</v>
      </c>
      <c r="L31" s="3" t="s">
        <v>47</v>
      </c>
      <c r="M31" s="3" t="s">
        <v>94</v>
      </c>
      <c r="N31" s="3"/>
    </row>
    <row r="32" customFormat="false" ht="15" hidden="false" customHeight="true" outlineLevel="0" collapsed="false">
      <c r="A32" s="3" t="s">
        <v>108</v>
      </c>
      <c r="B32" s="3" t="s">
        <v>15</v>
      </c>
      <c r="C32" s="3" t="s">
        <v>16</v>
      </c>
      <c r="D32" s="3" t="s">
        <v>30</v>
      </c>
      <c r="E32" s="3" t="s">
        <v>31</v>
      </c>
      <c r="F32" s="3" t="s">
        <v>69</v>
      </c>
      <c r="G32" s="3" t="s">
        <v>41</v>
      </c>
      <c r="H32" s="3" t="s">
        <v>29</v>
      </c>
      <c r="I32" s="3"/>
      <c r="J32" s="4" t="n">
        <v>200</v>
      </c>
      <c r="K32" s="3"/>
      <c r="L32" s="3" t="s">
        <v>49</v>
      </c>
      <c r="M32" s="3" t="s">
        <v>71</v>
      </c>
      <c r="N32" s="3"/>
    </row>
    <row r="33" customFormat="false" ht="15" hidden="false" customHeight="true" outlineLevel="0" collapsed="false">
      <c r="A33" s="3" t="s">
        <v>109</v>
      </c>
      <c r="B33" s="3" t="s">
        <v>15</v>
      </c>
      <c r="C33" s="3" t="s">
        <v>16</v>
      </c>
      <c r="D33" s="3" t="s">
        <v>30</v>
      </c>
      <c r="E33" s="3" t="s">
        <v>81</v>
      </c>
      <c r="F33" s="3" t="s">
        <v>86</v>
      </c>
      <c r="G33" s="3" t="s">
        <v>41</v>
      </c>
      <c r="H33" s="3" t="s">
        <v>29</v>
      </c>
      <c r="I33" s="3"/>
      <c r="J33" s="4" t="n">
        <v>176.5</v>
      </c>
      <c r="K33" s="3"/>
      <c r="L33" s="3" t="s">
        <v>49</v>
      </c>
      <c r="M33" s="3" t="s">
        <v>84</v>
      </c>
      <c r="N33" s="3"/>
    </row>
    <row r="34" customFormat="false" ht="15" hidden="false" customHeight="true" outlineLevel="0" collapsed="false">
      <c r="A34" s="3" t="s">
        <v>110</v>
      </c>
      <c r="B34" s="3" t="s">
        <v>15</v>
      </c>
      <c r="C34" s="3" t="s">
        <v>16</v>
      </c>
      <c r="D34" s="3" t="s">
        <v>30</v>
      </c>
      <c r="E34" s="3" t="s">
        <v>89</v>
      </c>
      <c r="F34" s="3" t="s">
        <v>75</v>
      </c>
      <c r="G34" s="3" t="s">
        <v>41</v>
      </c>
      <c r="H34" s="3" t="s">
        <v>29</v>
      </c>
      <c r="I34" s="3"/>
      <c r="J34" s="4" t="n">
        <v>133.3</v>
      </c>
      <c r="K34" s="3" t="s">
        <v>90</v>
      </c>
      <c r="L34" s="3" t="s">
        <v>47</v>
      </c>
      <c r="M34" s="3" t="s">
        <v>77</v>
      </c>
      <c r="N34" s="3"/>
    </row>
    <row r="35" customFormat="false" ht="15" hidden="false" customHeight="true" outlineLevel="0" collapsed="false">
      <c r="A35" s="3" t="s">
        <v>111</v>
      </c>
      <c r="B35" s="3" t="s">
        <v>15</v>
      </c>
      <c r="C35" s="3" t="s">
        <v>16</v>
      </c>
      <c r="D35" s="3" t="s">
        <v>30</v>
      </c>
      <c r="E35" s="3" t="s">
        <v>112</v>
      </c>
      <c r="F35" s="3" t="s">
        <v>75</v>
      </c>
      <c r="G35" s="3" t="s">
        <v>41</v>
      </c>
      <c r="H35" s="3" t="s">
        <v>29</v>
      </c>
      <c r="I35" s="3"/>
      <c r="J35" s="4" t="n">
        <v>129.9</v>
      </c>
      <c r="K35" s="3" t="s">
        <v>113</v>
      </c>
      <c r="L35" s="3" t="s">
        <v>47</v>
      </c>
      <c r="M35" s="3" t="s">
        <v>77</v>
      </c>
      <c r="N35" s="3"/>
    </row>
    <row r="36" customFormat="false" ht="15" hidden="false" customHeight="true" outlineLevel="0" collapsed="false">
      <c r="A36" s="3" t="s">
        <v>114</v>
      </c>
      <c r="B36" s="3" t="s">
        <v>15</v>
      </c>
      <c r="C36" s="3" t="s">
        <v>16</v>
      </c>
      <c r="D36" s="3" t="s">
        <v>30</v>
      </c>
      <c r="E36" s="3" t="s">
        <v>89</v>
      </c>
      <c r="F36" s="3" t="s">
        <v>75</v>
      </c>
      <c r="G36" s="3" t="s">
        <v>41</v>
      </c>
      <c r="H36" s="3" t="s">
        <v>29</v>
      </c>
      <c r="I36" s="3"/>
      <c r="J36" s="4" t="n">
        <v>86.2</v>
      </c>
      <c r="K36" s="3" t="s">
        <v>115</v>
      </c>
      <c r="L36" s="3" t="s">
        <v>47</v>
      </c>
      <c r="M36" s="3" t="s">
        <v>77</v>
      </c>
      <c r="N36" s="3"/>
    </row>
    <row r="37" customFormat="false" ht="15" hidden="false" customHeight="true" outlineLevel="0" collapsed="false">
      <c r="A37" s="3" t="s">
        <v>116</v>
      </c>
      <c r="B37" s="3" t="s">
        <v>15</v>
      </c>
      <c r="C37" s="3" t="s">
        <v>16</v>
      </c>
      <c r="D37" s="3" t="s">
        <v>30</v>
      </c>
      <c r="E37" s="3" t="s">
        <v>89</v>
      </c>
      <c r="F37" s="3" t="s">
        <v>75</v>
      </c>
      <c r="G37" s="3" t="s">
        <v>41</v>
      </c>
      <c r="H37" s="3" t="s">
        <v>29</v>
      </c>
      <c r="I37" s="3"/>
      <c r="J37" s="4" t="n">
        <v>63.2</v>
      </c>
      <c r="K37" s="3" t="s">
        <v>90</v>
      </c>
      <c r="L37" s="3" t="s">
        <v>47</v>
      </c>
      <c r="M37" s="3" t="s">
        <v>77</v>
      </c>
      <c r="N37" s="3"/>
    </row>
    <row r="38" customFormat="false" ht="15" hidden="false" customHeight="true" outlineLevel="0" collapsed="false">
      <c r="A38" s="3" t="s">
        <v>117</v>
      </c>
      <c r="B38" s="3" t="s">
        <v>15</v>
      </c>
      <c r="C38" s="3" t="s">
        <v>16</v>
      </c>
      <c r="D38" s="3" t="s">
        <v>30</v>
      </c>
      <c r="E38" s="3" t="s">
        <v>89</v>
      </c>
      <c r="F38" s="3" t="s">
        <v>75</v>
      </c>
      <c r="G38" s="3" t="s">
        <v>41</v>
      </c>
      <c r="H38" s="3" t="s">
        <v>29</v>
      </c>
      <c r="I38" s="3"/>
      <c r="J38" s="4" t="n">
        <v>57.9</v>
      </c>
      <c r="K38" s="3" t="s">
        <v>90</v>
      </c>
      <c r="L38" s="3" t="s">
        <v>47</v>
      </c>
      <c r="M38" s="3" t="s">
        <v>77</v>
      </c>
      <c r="N38" s="3"/>
    </row>
    <row r="39" customFormat="false" ht="15" hidden="false" customHeight="true" outlineLevel="0" collapsed="false">
      <c r="A39" s="3" t="s">
        <v>118</v>
      </c>
      <c r="B39" s="3" t="s">
        <v>15</v>
      </c>
      <c r="C39" s="3" t="s">
        <v>16</v>
      </c>
      <c r="D39" s="3" t="s">
        <v>30</v>
      </c>
      <c r="E39" s="3" t="s">
        <v>92</v>
      </c>
      <c r="F39" s="3" t="s">
        <v>69</v>
      </c>
      <c r="G39" s="3" t="s">
        <v>41</v>
      </c>
      <c r="H39" s="3" t="s">
        <v>29</v>
      </c>
      <c r="I39" s="3"/>
      <c r="J39" s="4" t="n">
        <v>48.2</v>
      </c>
      <c r="K39" s="3" t="s">
        <v>119</v>
      </c>
      <c r="L39" s="3" t="s">
        <v>47</v>
      </c>
      <c r="M39" s="3" t="s">
        <v>94</v>
      </c>
      <c r="N39" s="3"/>
    </row>
    <row r="40" customFormat="false" ht="15" hidden="false" customHeight="true" outlineLevel="0" collapsed="false">
      <c r="A40" s="3" t="s">
        <v>120</v>
      </c>
      <c r="B40" s="3" t="s">
        <v>15</v>
      </c>
      <c r="C40" s="3" t="s">
        <v>16</v>
      </c>
      <c r="D40" s="3" t="s">
        <v>30</v>
      </c>
      <c r="E40" s="3" t="s">
        <v>98</v>
      </c>
      <c r="F40" s="3" t="s">
        <v>75</v>
      </c>
      <c r="G40" s="3" t="s">
        <v>41</v>
      </c>
      <c r="H40" s="3" t="s">
        <v>29</v>
      </c>
      <c r="I40" s="3"/>
      <c r="J40" s="4" t="n">
        <v>38</v>
      </c>
      <c r="K40" s="3" t="s">
        <v>121</v>
      </c>
      <c r="L40" s="3" t="s">
        <v>47</v>
      </c>
      <c r="M40" s="3" t="s">
        <v>77</v>
      </c>
      <c r="N40" s="3"/>
    </row>
    <row r="41" customFormat="false" ht="15" hidden="false" customHeight="true" outlineLevel="0" collapsed="false">
      <c r="A41" s="3" t="s">
        <v>122</v>
      </c>
      <c r="B41" s="3" t="s">
        <v>15</v>
      </c>
      <c r="C41" s="3" t="s">
        <v>16</v>
      </c>
      <c r="D41" s="3" t="s">
        <v>30</v>
      </c>
      <c r="E41" s="3" t="s">
        <v>81</v>
      </c>
      <c r="F41" s="3" t="s">
        <v>75</v>
      </c>
      <c r="G41" s="3" t="s">
        <v>41</v>
      </c>
      <c r="H41" s="3" t="s">
        <v>29</v>
      </c>
      <c r="I41" s="3"/>
      <c r="J41" s="4" t="n">
        <v>18</v>
      </c>
      <c r="K41" s="3" t="s">
        <v>123</v>
      </c>
      <c r="L41" s="3" t="s">
        <v>47</v>
      </c>
      <c r="M41" s="3" t="s">
        <v>77</v>
      </c>
      <c r="N41" s="3"/>
    </row>
    <row r="42" customFormat="false" ht="15" hidden="false" customHeight="true" outlineLevel="0" collapsed="false">
      <c r="A42" s="3" t="s">
        <v>124</v>
      </c>
      <c r="B42" s="3" t="s">
        <v>15</v>
      </c>
      <c r="C42" s="3" t="s">
        <v>16</v>
      </c>
      <c r="D42" s="3" t="s">
        <v>30</v>
      </c>
      <c r="E42" s="3" t="s">
        <v>89</v>
      </c>
      <c r="F42" s="3" t="s">
        <v>75</v>
      </c>
      <c r="G42" s="3" t="s">
        <v>41</v>
      </c>
      <c r="H42" s="3" t="s">
        <v>29</v>
      </c>
      <c r="I42" s="3"/>
      <c r="J42" s="4" t="n">
        <v>17.4</v>
      </c>
      <c r="K42" s="3" t="s">
        <v>125</v>
      </c>
      <c r="L42" s="3" t="s">
        <v>47</v>
      </c>
      <c r="M42" s="3" t="s">
        <v>77</v>
      </c>
      <c r="N42" s="3"/>
    </row>
    <row r="43" customFormat="false" ht="15" hidden="false" customHeight="true" outlineLevel="0" collapsed="false">
      <c r="A43" s="3" t="s">
        <v>126</v>
      </c>
      <c r="B43" s="3" t="s">
        <v>15</v>
      </c>
      <c r="C43" s="3" t="s">
        <v>16</v>
      </c>
      <c r="D43" s="3" t="s">
        <v>30</v>
      </c>
      <c r="E43" s="3" t="s">
        <v>98</v>
      </c>
      <c r="F43" s="3" t="s">
        <v>75</v>
      </c>
      <c r="G43" s="3" t="s">
        <v>41</v>
      </c>
      <c r="H43" s="3" t="s">
        <v>29</v>
      </c>
      <c r="I43" s="3"/>
      <c r="J43" s="4" t="n">
        <v>11.3</v>
      </c>
      <c r="K43" s="3"/>
      <c r="L43" s="3" t="s">
        <v>49</v>
      </c>
      <c r="M43" s="3" t="s">
        <v>77</v>
      </c>
      <c r="N43" s="3"/>
    </row>
    <row r="44" customFormat="false" ht="15" hidden="false" customHeight="true" outlineLevel="0" collapsed="false">
      <c r="A44" s="3" t="s">
        <v>127</v>
      </c>
      <c r="B44" s="3" t="s">
        <v>15</v>
      </c>
      <c r="C44" s="3" t="s">
        <v>16</v>
      </c>
      <c r="D44" s="3" t="s">
        <v>30</v>
      </c>
      <c r="E44" s="3" t="s">
        <v>81</v>
      </c>
      <c r="F44" s="3" t="s">
        <v>75</v>
      </c>
      <c r="G44" s="3" t="s">
        <v>41</v>
      </c>
      <c r="H44" s="3" t="s">
        <v>29</v>
      </c>
      <c r="I44" s="3"/>
      <c r="J44" s="4" t="n">
        <v>8.3</v>
      </c>
      <c r="K44" s="3"/>
      <c r="L44" s="3" t="s">
        <v>49</v>
      </c>
      <c r="M44" s="3" t="s">
        <v>77</v>
      </c>
      <c r="N44" s="3"/>
    </row>
    <row r="45" customFormat="false" ht="15" hidden="false" customHeight="true" outlineLevel="0" collapsed="false">
      <c r="A45" s="3" t="s">
        <v>128</v>
      </c>
      <c r="B45" s="3" t="s">
        <v>15</v>
      </c>
      <c r="C45" s="3" t="s">
        <v>16</v>
      </c>
      <c r="D45" s="3" t="s">
        <v>30</v>
      </c>
      <c r="E45" s="3" t="s">
        <v>81</v>
      </c>
      <c r="F45" s="3" t="s">
        <v>75</v>
      </c>
      <c r="G45" s="3" t="s">
        <v>41</v>
      </c>
      <c r="H45" s="3" t="s">
        <v>29</v>
      </c>
      <c r="I45" s="3"/>
      <c r="J45" s="4" t="n">
        <v>4.1</v>
      </c>
      <c r="K45" s="3" t="s">
        <v>129</v>
      </c>
      <c r="L45" s="3" t="s">
        <v>47</v>
      </c>
      <c r="M45" s="3" t="s">
        <v>77</v>
      </c>
      <c r="N45" s="3"/>
    </row>
    <row r="46" customFormat="false" ht="15" hidden="false" customHeight="true" outlineLevel="0" collapsed="false">
      <c r="A46" s="3" t="s">
        <v>130</v>
      </c>
      <c r="B46" s="3" t="s">
        <v>15</v>
      </c>
      <c r="C46" s="3" t="s">
        <v>16</v>
      </c>
      <c r="D46" s="3" t="s">
        <v>30</v>
      </c>
      <c r="E46" s="3" t="s">
        <v>89</v>
      </c>
      <c r="F46" s="3" t="s">
        <v>75</v>
      </c>
      <c r="G46" s="3" t="s">
        <v>41</v>
      </c>
      <c r="H46" s="3" t="s">
        <v>29</v>
      </c>
      <c r="I46" s="3"/>
      <c r="J46" s="4" t="n">
        <v>3.3</v>
      </c>
      <c r="K46" s="3"/>
      <c r="L46" s="3" t="s">
        <v>49</v>
      </c>
      <c r="M46" s="3" t="s">
        <v>77</v>
      </c>
      <c r="N46" s="3"/>
    </row>
    <row r="47" customFormat="false" ht="15" hidden="false" customHeight="true" outlineLevel="0" collapsed="false">
      <c r="A47" s="3" t="s">
        <v>131</v>
      </c>
      <c r="B47" s="3" t="s">
        <v>15</v>
      </c>
      <c r="C47" s="3" t="s">
        <v>16</v>
      </c>
      <c r="D47" s="3" t="s">
        <v>30</v>
      </c>
      <c r="E47" s="3" t="s">
        <v>89</v>
      </c>
      <c r="F47" s="3" t="s">
        <v>75</v>
      </c>
      <c r="G47" s="3" t="s">
        <v>41</v>
      </c>
      <c r="H47" s="3" t="s">
        <v>29</v>
      </c>
      <c r="I47" s="3"/>
      <c r="J47" s="4" t="n">
        <v>0.8</v>
      </c>
      <c r="K47" s="3"/>
      <c r="L47" s="3" t="s">
        <v>49</v>
      </c>
      <c r="M47" s="3" t="s">
        <v>77</v>
      </c>
      <c r="N47" s="3"/>
    </row>
    <row r="48" customFormat="false" ht="15" hidden="false" customHeight="true" outlineLevel="0" collapsed="false">
      <c r="A48" s="3" t="s">
        <v>132</v>
      </c>
      <c r="B48" s="3" t="s">
        <v>15</v>
      </c>
      <c r="C48" s="3" t="s">
        <v>16</v>
      </c>
      <c r="D48" s="3" t="s">
        <v>30</v>
      </c>
      <c r="E48" s="3" t="s">
        <v>89</v>
      </c>
      <c r="F48" s="3" t="s">
        <v>75</v>
      </c>
      <c r="G48" s="3" t="s">
        <v>41</v>
      </c>
      <c r="H48" s="3" t="s">
        <v>29</v>
      </c>
      <c r="I48" s="3"/>
      <c r="J48" s="4"/>
      <c r="K48" s="3"/>
      <c r="L48" s="3" t="s">
        <v>49</v>
      </c>
      <c r="M48" s="3" t="s">
        <v>77</v>
      </c>
      <c r="N48" s="3"/>
    </row>
    <row r="49" customFormat="false" ht="15" hidden="false" customHeight="true" outlineLevel="0" collapsed="false">
      <c r="A49" s="3" t="s">
        <v>133</v>
      </c>
      <c r="B49" s="3" t="s">
        <v>15</v>
      </c>
      <c r="C49" s="3" t="s">
        <v>16</v>
      </c>
      <c r="D49" s="3" t="s">
        <v>30</v>
      </c>
      <c r="E49" s="3" t="s">
        <v>81</v>
      </c>
      <c r="F49" s="3" t="s">
        <v>75</v>
      </c>
      <c r="G49" s="3" t="s">
        <v>41</v>
      </c>
      <c r="H49" s="3" t="s">
        <v>29</v>
      </c>
      <c r="I49" s="3"/>
      <c r="J49" s="4"/>
      <c r="K49" s="3" t="s">
        <v>134</v>
      </c>
      <c r="L49" s="3" t="s">
        <v>22</v>
      </c>
      <c r="M49" s="3" t="s">
        <v>77</v>
      </c>
      <c r="N49" s="3"/>
    </row>
    <row r="50" customFormat="false" ht="15" hidden="false" customHeight="true" outlineLevel="0" collapsed="false">
      <c r="A50" s="3" t="s">
        <v>135</v>
      </c>
      <c r="B50" s="3" t="s">
        <v>15</v>
      </c>
      <c r="C50" s="3" t="s">
        <v>16</v>
      </c>
      <c r="D50" s="3" t="s">
        <v>30</v>
      </c>
      <c r="E50" s="3" t="s">
        <v>89</v>
      </c>
      <c r="F50" s="3" t="s">
        <v>75</v>
      </c>
      <c r="G50" s="3" t="s">
        <v>41</v>
      </c>
      <c r="H50" s="3" t="s">
        <v>29</v>
      </c>
      <c r="I50" s="3"/>
      <c r="J50" s="4"/>
      <c r="K50" s="3" t="s">
        <v>136</v>
      </c>
      <c r="L50" s="3" t="s">
        <v>22</v>
      </c>
      <c r="M50" s="3" t="s">
        <v>77</v>
      </c>
      <c r="N50" s="3"/>
    </row>
    <row r="51" customFormat="false" ht="15" hidden="false" customHeight="true" outlineLevel="0" collapsed="false">
      <c r="A51" s="3" t="s">
        <v>137</v>
      </c>
      <c r="B51" s="3" t="s">
        <v>15</v>
      </c>
      <c r="C51" s="3" t="s">
        <v>16</v>
      </c>
      <c r="D51" s="3" t="s">
        <v>30</v>
      </c>
      <c r="E51" s="3" t="s">
        <v>92</v>
      </c>
      <c r="F51" s="3" t="s">
        <v>69</v>
      </c>
      <c r="G51" s="3" t="s">
        <v>41</v>
      </c>
      <c r="H51" s="3" t="s">
        <v>29</v>
      </c>
      <c r="I51" s="3"/>
      <c r="J51" s="4"/>
      <c r="K51" s="3" t="s">
        <v>138</v>
      </c>
      <c r="L51" s="3" t="s">
        <v>22</v>
      </c>
      <c r="M51" s="3" t="s">
        <v>94</v>
      </c>
      <c r="N51" s="3"/>
    </row>
    <row r="52" customFormat="false" ht="15" hidden="false" customHeight="true" outlineLevel="0" collapsed="false">
      <c r="A52" s="3" t="s">
        <v>139</v>
      </c>
      <c r="B52" s="3" t="s">
        <v>15</v>
      </c>
      <c r="C52" s="3" t="s">
        <v>16</v>
      </c>
      <c r="D52" s="3" t="s">
        <v>30</v>
      </c>
      <c r="E52" s="3" t="s">
        <v>92</v>
      </c>
      <c r="F52" s="3" t="s">
        <v>69</v>
      </c>
      <c r="G52" s="3" t="s">
        <v>41</v>
      </c>
      <c r="H52" s="3" t="s">
        <v>29</v>
      </c>
      <c r="I52" s="3"/>
      <c r="J52" s="4"/>
      <c r="K52" s="3" t="s">
        <v>119</v>
      </c>
      <c r="L52" s="3" t="s">
        <v>22</v>
      </c>
      <c r="M52" s="3" t="s">
        <v>94</v>
      </c>
      <c r="N52" s="3"/>
    </row>
    <row r="53" customFormat="false" ht="15" hidden="false" customHeight="true" outlineLevel="0" collapsed="false">
      <c r="A53" s="3" t="s">
        <v>140</v>
      </c>
      <c r="B53" s="3" t="s">
        <v>15</v>
      </c>
      <c r="C53" s="3" t="s">
        <v>16</v>
      </c>
      <c r="D53" s="3" t="s">
        <v>30</v>
      </c>
      <c r="E53" s="3" t="s">
        <v>81</v>
      </c>
      <c r="F53" s="3" t="s">
        <v>75</v>
      </c>
      <c r="G53" s="3" t="s">
        <v>41</v>
      </c>
      <c r="H53" s="3" t="s">
        <v>29</v>
      </c>
      <c r="I53" s="3"/>
      <c r="J53" s="4"/>
      <c r="K53" s="3" t="s">
        <v>141</v>
      </c>
      <c r="L53" s="3" t="s">
        <v>142</v>
      </c>
      <c r="M53" s="3" t="s">
        <v>77</v>
      </c>
      <c r="N53" s="3"/>
    </row>
    <row r="54" customFormat="false" ht="15" hidden="false" customHeight="true" outlineLevel="0" collapsed="false">
      <c r="A54" s="3" t="s">
        <v>143</v>
      </c>
      <c r="B54" s="3" t="s">
        <v>15</v>
      </c>
      <c r="C54" s="3" t="s">
        <v>16</v>
      </c>
      <c r="D54" s="3" t="s">
        <v>30</v>
      </c>
      <c r="E54" s="3" t="s">
        <v>92</v>
      </c>
      <c r="F54" s="3" t="s">
        <v>69</v>
      </c>
      <c r="G54" s="3" t="s">
        <v>41</v>
      </c>
      <c r="H54" s="3" t="s">
        <v>29</v>
      </c>
      <c r="I54" s="3"/>
      <c r="J54" s="4"/>
      <c r="K54" s="3" t="s">
        <v>119</v>
      </c>
      <c r="L54" s="3" t="s">
        <v>22</v>
      </c>
      <c r="M54" s="3" t="s">
        <v>94</v>
      </c>
      <c r="N54" s="3"/>
    </row>
    <row r="55" customFormat="false" ht="15" hidden="false" customHeight="true" outlineLevel="0" collapsed="false">
      <c r="A55" s="3" t="s">
        <v>144</v>
      </c>
      <c r="B55" s="3" t="s">
        <v>15</v>
      </c>
      <c r="C55" s="3" t="s">
        <v>16</v>
      </c>
      <c r="D55" s="3" t="s">
        <v>30</v>
      </c>
      <c r="E55" s="3" t="s">
        <v>89</v>
      </c>
      <c r="F55" s="3" t="s">
        <v>75</v>
      </c>
      <c r="G55" s="3" t="s">
        <v>41</v>
      </c>
      <c r="H55" s="3" t="s">
        <v>29</v>
      </c>
      <c r="I55" s="3"/>
      <c r="J55" s="4"/>
      <c r="K55" s="3"/>
      <c r="L55" s="3" t="s">
        <v>49</v>
      </c>
      <c r="M55" s="3" t="s">
        <v>77</v>
      </c>
      <c r="N55" s="3"/>
    </row>
    <row r="56" customFormat="false" ht="15" hidden="false" customHeight="true" outlineLevel="0" collapsed="false">
      <c r="A56" s="3" t="s">
        <v>145</v>
      </c>
      <c r="B56" s="3" t="s">
        <v>15</v>
      </c>
      <c r="C56" s="3" t="s">
        <v>16</v>
      </c>
      <c r="D56" s="3" t="s">
        <v>30</v>
      </c>
      <c r="E56" s="3" t="s">
        <v>89</v>
      </c>
      <c r="F56" s="3" t="s">
        <v>75</v>
      </c>
      <c r="G56" s="3" t="s">
        <v>41</v>
      </c>
      <c r="H56" s="3" t="s">
        <v>29</v>
      </c>
      <c r="I56" s="3"/>
      <c r="J56" s="4"/>
      <c r="K56" s="3" t="s">
        <v>146</v>
      </c>
      <c r="L56" s="3" t="s">
        <v>22</v>
      </c>
      <c r="M56" s="3" t="s">
        <v>77</v>
      </c>
      <c r="N56" s="3"/>
    </row>
    <row r="57" customFormat="false" ht="15" hidden="false" customHeight="true" outlineLevel="0" collapsed="false">
      <c r="A57" s="3" t="s">
        <v>147</v>
      </c>
      <c r="B57" s="3" t="s">
        <v>15</v>
      </c>
      <c r="C57" s="3" t="s">
        <v>16</v>
      </c>
      <c r="D57" s="3" t="s">
        <v>30</v>
      </c>
      <c r="E57" s="3" t="s">
        <v>89</v>
      </c>
      <c r="F57" s="3" t="s">
        <v>75</v>
      </c>
      <c r="G57" s="3" t="s">
        <v>41</v>
      </c>
      <c r="H57" s="3" t="s">
        <v>29</v>
      </c>
      <c r="I57" s="3"/>
      <c r="J57" s="4" t="n">
        <v>0</v>
      </c>
      <c r="K57" s="3" t="s">
        <v>148</v>
      </c>
      <c r="L57" s="3" t="s">
        <v>22</v>
      </c>
      <c r="M57" s="3" t="s">
        <v>77</v>
      </c>
      <c r="N57" s="3"/>
    </row>
    <row r="58" customFormat="false" ht="15" hidden="false" customHeight="true" outlineLevel="0" collapsed="false">
      <c r="A58" s="3" t="s">
        <v>149</v>
      </c>
      <c r="B58" s="3" t="s">
        <v>15</v>
      </c>
      <c r="C58" s="3" t="s">
        <v>16</v>
      </c>
      <c r="D58" s="3" t="s">
        <v>30</v>
      </c>
      <c r="E58" s="3" t="s">
        <v>89</v>
      </c>
      <c r="F58" s="3" t="s">
        <v>75</v>
      </c>
      <c r="G58" s="3" t="s">
        <v>41</v>
      </c>
      <c r="H58" s="3" t="s">
        <v>29</v>
      </c>
      <c r="I58" s="3"/>
      <c r="J58" s="4"/>
      <c r="K58" s="3" t="s">
        <v>150</v>
      </c>
      <c r="L58" s="3" t="s">
        <v>22</v>
      </c>
      <c r="M58" s="3" t="s">
        <v>77</v>
      </c>
      <c r="N58" s="3"/>
    </row>
    <row r="59" customFormat="false" ht="15" hidden="false" customHeight="true" outlineLevel="0" collapsed="false">
      <c r="A59" s="3" t="s">
        <v>151</v>
      </c>
      <c r="B59" s="3" t="s">
        <v>15</v>
      </c>
      <c r="C59" s="3" t="s">
        <v>16</v>
      </c>
      <c r="D59" s="3" t="s">
        <v>30</v>
      </c>
      <c r="E59" s="3" t="s">
        <v>81</v>
      </c>
      <c r="F59" s="3" t="s">
        <v>75</v>
      </c>
      <c r="G59" s="3" t="s">
        <v>41</v>
      </c>
      <c r="H59" s="3" t="s">
        <v>29</v>
      </c>
      <c r="I59" s="3"/>
      <c r="J59" s="4"/>
      <c r="K59" s="3"/>
      <c r="L59" s="3" t="s">
        <v>49</v>
      </c>
      <c r="M59" s="3" t="s">
        <v>77</v>
      </c>
      <c r="N59" s="3"/>
    </row>
    <row r="60" customFormat="false" ht="15" hidden="false" customHeight="true" outlineLevel="0" collapsed="false">
      <c r="A60" s="3" t="s">
        <v>152</v>
      </c>
      <c r="B60" s="3" t="s">
        <v>15</v>
      </c>
      <c r="C60" s="3" t="s">
        <v>16</v>
      </c>
      <c r="D60" s="3" t="s">
        <v>30</v>
      </c>
      <c r="E60" s="3" t="s">
        <v>81</v>
      </c>
      <c r="F60" s="3" t="s">
        <v>75</v>
      </c>
      <c r="G60" s="3" t="s">
        <v>41</v>
      </c>
      <c r="H60" s="3" t="s">
        <v>29</v>
      </c>
      <c r="I60" s="3"/>
      <c r="J60" s="4"/>
      <c r="K60" s="3" t="s">
        <v>153</v>
      </c>
      <c r="L60" s="3" t="s">
        <v>22</v>
      </c>
      <c r="M60" s="3" t="s">
        <v>77</v>
      </c>
      <c r="N60" s="3"/>
    </row>
    <row r="61" customFormat="false" ht="15" hidden="false" customHeight="true" outlineLevel="0" collapsed="false">
      <c r="A61" s="3" t="s">
        <v>154</v>
      </c>
      <c r="B61" s="3" t="s">
        <v>15</v>
      </c>
      <c r="C61" s="3" t="s">
        <v>16</v>
      </c>
      <c r="D61" s="3" t="s">
        <v>30</v>
      </c>
      <c r="E61" s="3" t="s">
        <v>89</v>
      </c>
      <c r="F61" s="3" t="s">
        <v>75</v>
      </c>
      <c r="G61" s="3" t="s">
        <v>41</v>
      </c>
      <c r="H61" s="3" t="s">
        <v>29</v>
      </c>
      <c r="I61" s="3"/>
      <c r="J61" s="4"/>
      <c r="K61" s="3" t="s">
        <v>155</v>
      </c>
      <c r="L61" s="3" t="s">
        <v>22</v>
      </c>
      <c r="M61" s="3" t="s">
        <v>77</v>
      </c>
      <c r="N61" s="3"/>
    </row>
    <row r="62" customFormat="false" ht="15" hidden="false" customHeight="true" outlineLevel="0" collapsed="false">
      <c r="A62" s="3" t="s">
        <v>156</v>
      </c>
      <c r="B62" s="3" t="s">
        <v>15</v>
      </c>
      <c r="C62" s="3" t="s">
        <v>16</v>
      </c>
      <c r="D62" s="3" t="s">
        <v>30</v>
      </c>
      <c r="E62" s="3" t="s">
        <v>92</v>
      </c>
      <c r="F62" s="3" t="s">
        <v>69</v>
      </c>
      <c r="G62" s="3" t="s">
        <v>41</v>
      </c>
      <c r="H62" s="3" t="s">
        <v>29</v>
      </c>
      <c r="I62" s="3"/>
      <c r="J62" s="4"/>
      <c r="K62" s="3" t="s">
        <v>157</v>
      </c>
      <c r="L62" s="3" t="s">
        <v>22</v>
      </c>
      <c r="M62" s="3" t="s">
        <v>94</v>
      </c>
      <c r="N62" s="3"/>
    </row>
    <row r="63" customFormat="false" ht="15" hidden="false" customHeight="true" outlineLevel="0" collapsed="false">
      <c r="A63" s="3" t="s">
        <v>158</v>
      </c>
      <c r="B63" s="3" t="s">
        <v>15</v>
      </c>
      <c r="C63" s="3" t="s">
        <v>16</v>
      </c>
      <c r="D63" s="3" t="s">
        <v>30</v>
      </c>
      <c r="E63" s="3" t="s">
        <v>89</v>
      </c>
      <c r="F63" s="3" t="s">
        <v>75</v>
      </c>
      <c r="G63" s="3" t="s">
        <v>41</v>
      </c>
      <c r="H63" s="3" t="s">
        <v>29</v>
      </c>
      <c r="I63" s="3"/>
      <c r="J63" s="4"/>
      <c r="K63" s="3"/>
      <c r="L63" s="3" t="s">
        <v>49</v>
      </c>
      <c r="M63" s="3" t="s">
        <v>77</v>
      </c>
      <c r="N63" s="3"/>
    </row>
    <row r="64" customFormat="false" ht="15" hidden="false" customHeight="true" outlineLevel="0" collapsed="false">
      <c r="A64" s="3" t="s">
        <v>159</v>
      </c>
      <c r="B64" s="3" t="s">
        <v>15</v>
      </c>
      <c r="C64" s="3" t="s">
        <v>16</v>
      </c>
      <c r="D64" s="3" t="s">
        <v>30</v>
      </c>
      <c r="E64" s="3" t="s">
        <v>31</v>
      </c>
      <c r="F64" s="3" t="s">
        <v>69</v>
      </c>
      <c r="G64" s="3" t="s">
        <v>41</v>
      </c>
      <c r="H64" s="3" t="s">
        <v>29</v>
      </c>
      <c r="I64" s="3"/>
      <c r="J64" s="4"/>
      <c r="K64" s="3" t="s">
        <v>160</v>
      </c>
      <c r="L64" s="3" t="s">
        <v>22</v>
      </c>
      <c r="M64" s="3" t="s">
        <v>71</v>
      </c>
      <c r="N64" s="3"/>
    </row>
    <row r="65" customFormat="false" ht="15" hidden="false" customHeight="true" outlineLevel="0" collapsed="false">
      <c r="A65" s="3" t="s">
        <v>161</v>
      </c>
      <c r="B65" s="3" t="s">
        <v>15</v>
      </c>
      <c r="C65" s="3" t="s">
        <v>16</v>
      </c>
      <c r="D65" s="3" t="s">
        <v>30</v>
      </c>
      <c r="E65" s="3" t="s">
        <v>89</v>
      </c>
      <c r="F65" s="3" t="s">
        <v>75</v>
      </c>
      <c r="G65" s="3" t="s">
        <v>41</v>
      </c>
      <c r="H65" s="3" t="s">
        <v>29</v>
      </c>
      <c r="I65" s="3"/>
      <c r="J65" s="4"/>
      <c r="K65" s="3"/>
      <c r="L65" s="3" t="s">
        <v>49</v>
      </c>
      <c r="M65" s="3" t="s">
        <v>77</v>
      </c>
      <c r="N65" s="3"/>
    </row>
    <row r="66" customFormat="false" ht="15" hidden="false" customHeight="true" outlineLevel="0" collapsed="false">
      <c r="A66" s="3" t="s">
        <v>162</v>
      </c>
      <c r="B66" s="3" t="s">
        <v>15</v>
      </c>
      <c r="C66" s="3" t="s">
        <v>16</v>
      </c>
      <c r="D66" s="3" t="s">
        <v>30</v>
      </c>
      <c r="E66" s="3" t="s">
        <v>81</v>
      </c>
      <c r="F66" s="3" t="s">
        <v>86</v>
      </c>
      <c r="G66" s="3" t="s">
        <v>41</v>
      </c>
      <c r="H66" s="3" t="s">
        <v>29</v>
      </c>
      <c r="I66" s="3"/>
      <c r="J66" s="4"/>
      <c r="K66" s="3" t="s">
        <v>163</v>
      </c>
      <c r="L66" s="3" t="s">
        <v>164</v>
      </c>
      <c r="M66" s="3" t="s">
        <v>84</v>
      </c>
      <c r="N66" s="3"/>
    </row>
    <row r="67" customFormat="false" ht="15" hidden="false" customHeight="true" outlineLevel="0" collapsed="false">
      <c r="A67" s="3" t="s">
        <v>165</v>
      </c>
      <c r="B67" s="3" t="s">
        <v>15</v>
      </c>
      <c r="C67" s="3" t="s">
        <v>16</v>
      </c>
      <c r="D67" s="3" t="s">
        <v>35</v>
      </c>
      <c r="E67" s="3" t="s">
        <v>166</v>
      </c>
      <c r="F67" s="3" t="s">
        <v>167</v>
      </c>
      <c r="G67" s="3" t="s">
        <v>41</v>
      </c>
      <c r="H67" s="3" t="s">
        <v>37</v>
      </c>
      <c r="I67" s="3"/>
      <c r="J67" s="4" t="n">
        <v>16995.3</v>
      </c>
      <c r="K67" s="3" t="s">
        <v>168</v>
      </c>
      <c r="L67" s="3" t="s">
        <v>22</v>
      </c>
      <c r="M67" s="3" t="s">
        <v>169</v>
      </c>
      <c r="N67" s="3"/>
    </row>
    <row r="68" customFormat="false" ht="15" hidden="false" customHeight="true" outlineLevel="0" collapsed="false">
      <c r="A68" s="3" t="s">
        <v>170</v>
      </c>
      <c r="B68" s="3" t="s">
        <v>15</v>
      </c>
      <c r="C68" s="3" t="s">
        <v>16</v>
      </c>
      <c r="D68" s="3" t="s">
        <v>35</v>
      </c>
      <c r="E68" s="3" t="s">
        <v>166</v>
      </c>
      <c r="F68" s="3" t="s">
        <v>171</v>
      </c>
      <c r="G68" s="3" t="s">
        <v>41</v>
      </c>
      <c r="H68" s="3" t="s">
        <v>37</v>
      </c>
      <c r="I68" s="3"/>
      <c r="J68" s="4" t="n">
        <v>14204.9</v>
      </c>
      <c r="K68" s="3" t="s">
        <v>172</v>
      </c>
      <c r="L68" s="3" t="s">
        <v>47</v>
      </c>
      <c r="M68" s="3" t="s">
        <v>169</v>
      </c>
      <c r="N68" s="3"/>
    </row>
    <row r="69" customFormat="false" ht="15" hidden="false" customHeight="true" outlineLevel="0" collapsed="false">
      <c r="A69" s="3" t="s">
        <v>173</v>
      </c>
      <c r="B69" s="3" t="s">
        <v>15</v>
      </c>
      <c r="C69" s="3" t="s">
        <v>16</v>
      </c>
      <c r="D69" s="3" t="s">
        <v>35</v>
      </c>
      <c r="E69" s="3" t="s">
        <v>174</v>
      </c>
      <c r="F69" s="3" t="s">
        <v>37</v>
      </c>
      <c r="G69" s="3" t="s">
        <v>41</v>
      </c>
      <c r="H69" s="3" t="s">
        <v>37</v>
      </c>
      <c r="I69" s="3"/>
      <c r="J69" s="4" t="n">
        <v>5859.3</v>
      </c>
      <c r="K69" s="3" t="s">
        <v>175</v>
      </c>
      <c r="L69" s="3" t="s">
        <v>47</v>
      </c>
      <c r="M69" s="3" t="s">
        <v>176</v>
      </c>
      <c r="N69" s="3"/>
    </row>
    <row r="70" customFormat="false" ht="15" hidden="false" customHeight="true" outlineLevel="0" collapsed="false">
      <c r="A70" s="3" t="s">
        <v>177</v>
      </c>
      <c r="B70" s="3" t="s">
        <v>15</v>
      </c>
      <c r="C70" s="3" t="s">
        <v>16</v>
      </c>
      <c r="D70" s="3" t="s">
        <v>35</v>
      </c>
      <c r="E70" s="3" t="s">
        <v>178</v>
      </c>
      <c r="F70" s="3" t="s">
        <v>179</v>
      </c>
      <c r="G70" s="3" t="s">
        <v>41</v>
      </c>
      <c r="H70" s="3" t="s">
        <v>37</v>
      </c>
      <c r="I70" s="3"/>
      <c r="J70" s="4" t="n">
        <v>5024.3</v>
      </c>
      <c r="K70" s="3"/>
      <c r="L70" s="3" t="s">
        <v>49</v>
      </c>
      <c r="M70" s="3" t="s">
        <v>180</v>
      </c>
      <c r="N70" s="3" t="s">
        <v>50</v>
      </c>
    </row>
    <row r="71" customFormat="false" ht="15" hidden="false" customHeight="true" outlineLevel="0" collapsed="false">
      <c r="A71" s="3" t="s">
        <v>181</v>
      </c>
      <c r="B71" s="3" t="s">
        <v>15</v>
      </c>
      <c r="C71" s="3" t="s">
        <v>16</v>
      </c>
      <c r="D71" s="3" t="s">
        <v>35</v>
      </c>
      <c r="E71" s="3" t="s">
        <v>166</v>
      </c>
      <c r="F71" s="3" t="s">
        <v>167</v>
      </c>
      <c r="G71" s="3" t="s">
        <v>41</v>
      </c>
      <c r="H71" s="3" t="s">
        <v>37</v>
      </c>
      <c r="I71" s="3"/>
      <c r="J71" s="4" t="n">
        <v>4423</v>
      </c>
      <c r="K71" s="3" t="s">
        <v>182</v>
      </c>
      <c r="L71" s="3" t="s">
        <v>22</v>
      </c>
      <c r="M71" s="3" t="s">
        <v>169</v>
      </c>
      <c r="N71" s="3"/>
    </row>
    <row r="72" customFormat="false" ht="15" hidden="false" customHeight="true" outlineLevel="0" collapsed="false">
      <c r="A72" s="3" t="s">
        <v>183</v>
      </c>
      <c r="B72" s="3" t="s">
        <v>15</v>
      </c>
      <c r="C72" s="3" t="s">
        <v>16</v>
      </c>
      <c r="D72" s="3" t="s">
        <v>35</v>
      </c>
      <c r="E72" s="3" t="s">
        <v>166</v>
      </c>
      <c r="F72" s="3" t="s">
        <v>171</v>
      </c>
      <c r="G72" s="3" t="s">
        <v>41</v>
      </c>
      <c r="H72" s="3" t="s">
        <v>37</v>
      </c>
      <c r="I72" s="3"/>
      <c r="J72" s="4" t="n">
        <v>3589.4</v>
      </c>
      <c r="K72" s="3" t="s">
        <v>184</v>
      </c>
      <c r="L72" s="3" t="s">
        <v>47</v>
      </c>
      <c r="M72" s="3" t="s">
        <v>169</v>
      </c>
      <c r="N72" s="3"/>
    </row>
    <row r="73" customFormat="false" ht="15" hidden="false" customHeight="true" outlineLevel="0" collapsed="false">
      <c r="A73" s="3" t="s">
        <v>185</v>
      </c>
      <c r="B73" s="3" t="s">
        <v>15</v>
      </c>
      <c r="C73" s="3" t="s">
        <v>16</v>
      </c>
      <c r="D73" s="3" t="s">
        <v>35</v>
      </c>
      <c r="E73" s="3" t="s">
        <v>36</v>
      </c>
      <c r="F73" s="3" t="s">
        <v>37</v>
      </c>
      <c r="G73" s="3" t="s">
        <v>41</v>
      </c>
      <c r="H73" s="3" t="s">
        <v>37</v>
      </c>
      <c r="I73" s="3"/>
      <c r="J73" s="4" t="n">
        <v>3094.5</v>
      </c>
      <c r="K73" s="3" t="s">
        <v>186</v>
      </c>
      <c r="L73" s="3" t="s">
        <v>22</v>
      </c>
      <c r="M73" s="3" t="s">
        <v>187</v>
      </c>
      <c r="N73" s="3"/>
    </row>
    <row r="74" customFormat="false" ht="15" hidden="false" customHeight="true" outlineLevel="0" collapsed="false">
      <c r="A74" s="3" t="s">
        <v>188</v>
      </c>
      <c r="B74" s="3" t="s">
        <v>15</v>
      </c>
      <c r="C74" s="3" t="s">
        <v>16</v>
      </c>
      <c r="D74" s="3" t="s">
        <v>35</v>
      </c>
      <c r="E74" s="3" t="s">
        <v>189</v>
      </c>
      <c r="F74" s="3" t="s">
        <v>37</v>
      </c>
      <c r="G74" s="3" t="s">
        <v>41</v>
      </c>
      <c r="H74" s="3" t="s">
        <v>37</v>
      </c>
      <c r="I74" s="3"/>
      <c r="J74" s="4" t="n">
        <v>1459.7</v>
      </c>
      <c r="K74" s="3"/>
      <c r="L74" s="3" t="s">
        <v>49</v>
      </c>
      <c r="M74" s="3" t="s">
        <v>176</v>
      </c>
      <c r="N74" s="3"/>
    </row>
    <row r="75" customFormat="false" ht="15" hidden="false" customHeight="true" outlineLevel="0" collapsed="false">
      <c r="A75" s="3" t="s">
        <v>190</v>
      </c>
      <c r="B75" s="3" t="s">
        <v>15</v>
      </c>
      <c r="C75" s="3" t="s">
        <v>16</v>
      </c>
      <c r="D75" s="3" t="s">
        <v>35</v>
      </c>
      <c r="E75" s="3" t="s">
        <v>191</v>
      </c>
      <c r="F75" s="3" t="s">
        <v>75</v>
      </c>
      <c r="G75" s="3" t="s">
        <v>41</v>
      </c>
      <c r="H75" s="3" t="s">
        <v>37</v>
      </c>
      <c r="I75" s="3"/>
      <c r="J75" s="4" t="n">
        <v>1034.2</v>
      </c>
      <c r="K75" s="3" t="s">
        <v>192</v>
      </c>
      <c r="L75" s="3" t="s">
        <v>47</v>
      </c>
      <c r="M75" s="3" t="s">
        <v>193</v>
      </c>
      <c r="N75" s="3"/>
    </row>
    <row r="76" customFormat="false" ht="15" hidden="false" customHeight="true" outlineLevel="0" collapsed="false">
      <c r="A76" s="3" t="s">
        <v>194</v>
      </c>
      <c r="B76" s="3" t="s">
        <v>15</v>
      </c>
      <c r="C76" s="3" t="s">
        <v>16</v>
      </c>
      <c r="D76" s="3" t="s">
        <v>35</v>
      </c>
      <c r="E76" s="3" t="s">
        <v>195</v>
      </c>
      <c r="F76" s="3" t="s">
        <v>179</v>
      </c>
      <c r="G76" s="3" t="s">
        <v>41</v>
      </c>
      <c r="H76" s="3" t="s">
        <v>37</v>
      </c>
      <c r="I76" s="3"/>
      <c r="J76" s="4" t="n">
        <v>1000</v>
      </c>
      <c r="K76" s="3"/>
      <c r="L76" s="3" t="s">
        <v>49</v>
      </c>
      <c r="M76" s="3" t="s">
        <v>180</v>
      </c>
      <c r="N76" s="3"/>
    </row>
    <row r="77" customFormat="false" ht="15" hidden="false" customHeight="true" outlineLevel="0" collapsed="false">
      <c r="A77" s="3" t="s">
        <v>196</v>
      </c>
      <c r="B77" s="3" t="s">
        <v>15</v>
      </c>
      <c r="C77" s="3" t="s">
        <v>16</v>
      </c>
      <c r="D77" s="3" t="s">
        <v>35</v>
      </c>
      <c r="E77" s="3" t="s">
        <v>178</v>
      </c>
      <c r="F77" s="3" t="s">
        <v>197</v>
      </c>
      <c r="G77" s="3" t="s">
        <v>41</v>
      </c>
      <c r="H77" s="3" t="s">
        <v>37</v>
      </c>
      <c r="I77" s="3"/>
      <c r="J77" s="4" t="n">
        <v>814.6</v>
      </c>
      <c r="K77" s="3" t="s">
        <v>198</v>
      </c>
      <c r="L77" s="3" t="s">
        <v>22</v>
      </c>
      <c r="M77" s="3" t="s">
        <v>199</v>
      </c>
      <c r="N77" s="3" t="s">
        <v>50</v>
      </c>
    </row>
    <row r="78" customFormat="false" ht="15" hidden="false" customHeight="true" outlineLevel="0" collapsed="false">
      <c r="A78" s="3" t="s">
        <v>200</v>
      </c>
      <c r="B78" s="3" t="s">
        <v>15</v>
      </c>
      <c r="C78" s="3" t="s">
        <v>16</v>
      </c>
      <c r="D78" s="3" t="s">
        <v>35</v>
      </c>
      <c r="E78" s="3" t="s">
        <v>201</v>
      </c>
      <c r="F78" s="3" t="s">
        <v>197</v>
      </c>
      <c r="G78" s="3" t="s">
        <v>41</v>
      </c>
      <c r="H78" s="3" t="s">
        <v>37</v>
      </c>
      <c r="I78" s="3"/>
      <c r="J78" s="4" t="n">
        <v>591</v>
      </c>
      <c r="K78" s="3" t="s">
        <v>202</v>
      </c>
      <c r="L78" s="3" t="s">
        <v>47</v>
      </c>
      <c r="M78" s="3" t="s">
        <v>199</v>
      </c>
      <c r="N78" s="3" t="s">
        <v>50</v>
      </c>
    </row>
    <row r="79" customFormat="false" ht="15" hidden="false" customHeight="true" outlineLevel="0" collapsed="false">
      <c r="A79" s="3" t="s">
        <v>203</v>
      </c>
      <c r="B79" s="3" t="s">
        <v>15</v>
      </c>
      <c r="C79" s="3" t="s">
        <v>16</v>
      </c>
      <c r="D79" s="3" t="s">
        <v>35</v>
      </c>
      <c r="E79" s="3" t="s">
        <v>204</v>
      </c>
      <c r="F79" s="3" t="s">
        <v>179</v>
      </c>
      <c r="G79" s="3" t="s">
        <v>41</v>
      </c>
      <c r="H79" s="3" t="s">
        <v>37</v>
      </c>
      <c r="I79" s="3"/>
      <c r="J79" s="4" t="n">
        <v>586.1</v>
      </c>
      <c r="K79" s="3" t="s">
        <v>205</v>
      </c>
      <c r="L79" s="3" t="s">
        <v>22</v>
      </c>
      <c r="M79" s="3" t="s">
        <v>180</v>
      </c>
      <c r="N79" s="3" t="s">
        <v>50</v>
      </c>
    </row>
    <row r="80" customFormat="false" ht="15" hidden="false" customHeight="true" outlineLevel="0" collapsed="false">
      <c r="A80" s="3" t="s">
        <v>206</v>
      </c>
      <c r="B80" s="3" t="s">
        <v>15</v>
      </c>
      <c r="C80" s="3" t="s">
        <v>16</v>
      </c>
      <c r="D80" s="3" t="s">
        <v>35</v>
      </c>
      <c r="E80" s="3" t="s">
        <v>207</v>
      </c>
      <c r="F80" s="3" t="s">
        <v>179</v>
      </c>
      <c r="G80" s="3" t="s">
        <v>41</v>
      </c>
      <c r="H80" s="3" t="s">
        <v>37</v>
      </c>
      <c r="I80" s="3"/>
      <c r="J80" s="4" t="n">
        <v>567</v>
      </c>
      <c r="K80" s="3"/>
      <c r="L80" s="3" t="s">
        <v>49</v>
      </c>
      <c r="M80" s="3" t="s">
        <v>180</v>
      </c>
      <c r="N80" s="3" t="s">
        <v>50</v>
      </c>
    </row>
    <row r="81" customFormat="false" ht="15" hidden="false" customHeight="true" outlineLevel="0" collapsed="false">
      <c r="A81" s="3" t="s">
        <v>208</v>
      </c>
      <c r="B81" s="3" t="s">
        <v>15</v>
      </c>
      <c r="C81" s="3" t="s">
        <v>16</v>
      </c>
      <c r="D81" s="3" t="s">
        <v>35</v>
      </c>
      <c r="E81" s="3" t="s">
        <v>166</v>
      </c>
      <c r="F81" s="3" t="s">
        <v>171</v>
      </c>
      <c r="G81" s="3" t="s">
        <v>41</v>
      </c>
      <c r="H81" s="3" t="s">
        <v>37</v>
      </c>
      <c r="I81" s="3"/>
      <c r="J81" s="4" t="n">
        <v>558.4</v>
      </c>
      <c r="K81" s="3" t="s">
        <v>172</v>
      </c>
      <c r="L81" s="3" t="s">
        <v>47</v>
      </c>
      <c r="M81" s="3" t="s">
        <v>169</v>
      </c>
      <c r="N81" s="3"/>
    </row>
    <row r="82" customFormat="false" ht="15" hidden="false" customHeight="true" outlineLevel="0" collapsed="false">
      <c r="A82" s="3" t="s">
        <v>209</v>
      </c>
      <c r="B82" s="3" t="s">
        <v>15</v>
      </c>
      <c r="C82" s="3" t="s">
        <v>16</v>
      </c>
      <c r="D82" s="3" t="s">
        <v>35</v>
      </c>
      <c r="E82" s="3" t="s">
        <v>166</v>
      </c>
      <c r="F82" s="3" t="s">
        <v>210</v>
      </c>
      <c r="G82" s="3" t="s">
        <v>41</v>
      </c>
      <c r="H82" s="3" t="s">
        <v>37</v>
      </c>
      <c r="I82" s="3"/>
      <c r="J82" s="4" t="n">
        <v>478.3</v>
      </c>
      <c r="K82" s="3" t="s">
        <v>211</v>
      </c>
      <c r="L82" s="3" t="s">
        <v>22</v>
      </c>
      <c r="M82" s="3" t="s">
        <v>169</v>
      </c>
      <c r="N82" s="3"/>
    </row>
    <row r="83" customFormat="false" ht="15" hidden="false" customHeight="true" outlineLevel="0" collapsed="false">
      <c r="A83" s="3" t="s">
        <v>212</v>
      </c>
      <c r="B83" s="3" t="s">
        <v>15</v>
      </c>
      <c r="C83" s="3" t="s">
        <v>16</v>
      </c>
      <c r="D83" s="3" t="s">
        <v>35</v>
      </c>
      <c r="E83" s="3" t="s">
        <v>166</v>
      </c>
      <c r="F83" s="3" t="s">
        <v>171</v>
      </c>
      <c r="G83" s="3" t="s">
        <v>41</v>
      </c>
      <c r="H83" s="3" t="s">
        <v>37</v>
      </c>
      <c r="I83" s="3"/>
      <c r="J83" s="4" t="n">
        <v>471.3</v>
      </c>
      <c r="K83" s="3" t="s">
        <v>213</v>
      </c>
      <c r="L83" s="3" t="s">
        <v>22</v>
      </c>
      <c r="M83" s="3" t="s">
        <v>169</v>
      </c>
      <c r="N83" s="3"/>
    </row>
    <row r="84" customFormat="false" ht="15" hidden="false" customHeight="true" outlineLevel="0" collapsed="false">
      <c r="A84" s="3" t="s">
        <v>214</v>
      </c>
      <c r="B84" s="3" t="s">
        <v>15</v>
      </c>
      <c r="C84" s="3" t="s">
        <v>16</v>
      </c>
      <c r="D84" s="3" t="s">
        <v>35</v>
      </c>
      <c r="E84" s="3" t="s">
        <v>189</v>
      </c>
      <c r="F84" s="3" t="s">
        <v>37</v>
      </c>
      <c r="G84" s="3" t="s">
        <v>41</v>
      </c>
      <c r="H84" s="3" t="s">
        <v>37</v>
      </c>
      <c r="I84" s="3"/>
      <c r="J84" s="4" t="n">
        <v>453</v>
      </c>
      <c r="K84" s="3" t="s">
        <v>215</v>
      </c>
      <c r="L84" s="3" t="s">
        <v>47</v>
      </c>
      <c r="M84" s="3" t="s">
        <v>176</v>
      </c>
      <c r="N84" s="3"/>
    </row>
    <row r="85" customFormat="false" ht="15" hidden="false" customHeight="true" outlineLevel="0" collapsed="false">
      <c r="A85" s="3" t="s">
        <v>216</v>
      </c>
      <c r="B85" s="3" t="s">
        <v>15</v>
      </c>
      <c r="C85" s="3" t="s">
        <v>16</v>
      </c>
      <c r="D85" s="3" t="s">
        <v>35</v>
      </c>
      <c r="E85" s="3" t="s">
        <v>207</v>
      </c>
      <c r="F85" s="3" t="s">
        <v>179</v>
      </c>
      <c r="G85" s="3" t="s">
        <v>41</v>
      </c>
      <c r="H85" s="3" t="s">
        <v>37</v>
      </c>
      <c r="I85" s="3"/>
      <c r="J85" s="4" t="n">
        <v>392.7</v>
      </c>
      <c r="K85" s="3"/>
      <c r="L85" s="3" t="s">
        <v>49</v>
      </c>
      <c r="M85" s="3" t="s">
        <v>180</v>
      </c>
      <c r="N85" s="3" t="s">
        <v>50</v>
      </c>
    </row>
    <row r="86" customFormat="false" ht="15" hidden="false" customHeight="true" outlineLevel="0" collapsed="false">
      <c r="A86" s="3" t="s">
        <v>217</v>
      </c>
      <c r="B86" s="3" t="s">
        <v>15</v>
      </c>
      <c r="C86" s="3" t="s">
        <v>16</v>
      </c>
      <c r="D86" s="3" t="s">
        <v>35</v>
      </c>
      <c r="E86" s="3" t="s">
        <v>36</v>
      </c>
      <c r="F86" s="3" t="s">
        <v>37</v>
      </c>
      <c r="G86" s="3" t="s">
        <v>41</v>
      </c>
      <c r="H86" s="3" t="s">
        <v>37</v>
      </c>
      <c r="I86" s="3"/>
      <c r="J86" s="4" t="n">
        <v>334.7</v>
      </c>
      <c r="K86" s="3" t="s">
        <v>218</v>
      </c>
      <c r="L86" s="3" t="s">
        <v>47</v>
      </c>
      <c r="M86" s="3" t="s">
        <v>176</v>
      </c>
      <c r="N86" s="3"/>
    </row>
    <row r="87" customFormat="false" ht="15" hidden="false" customHeight="true" outlineLevel="0" collapsed="false">
      <c r="A87" s="3" t="s">
        <v>219</v>
      </c>
      <c r="B87" s="3" t="s">
        <v>15</v>
      </c>
      <c r="C87" s="3" t="s">
        <v>16</v>
      </c>
      <c r="D87" s="3" t="s">
        <v>35</v>
      </c>
      <c r="E87" s="3" t="s">
        <v>191</v>
      </c>
      <c r="F87" s="3" t="s">
        <v>75</v>
      </c>
      <c r="G87" s="3" t="s">
        <v>41</v>
      </c>
      <c r="H87" s="3" t="s">
        <v>37</v>
      </c>
      <c r="I87" s="3"/>
      <c r="J87" s="4" t="n">
        <v>280.7</v>
      </c>
      <c r="K87" s="3"/>
      <c r="L87" s="3" t="s">
        <v>49</v>
      </c>
      <c r="M87" s="3" t="s">
        <v>193</v>
      </c>
      <c r="N87" s="3"/>
    </row>
    <row r="88" customFormat="false" ht="15" hidden="false" customHeight="true" outlineLevel="0" collapsed="false">
      <c r="A88" s="3" t="s">
        <v>220</v>
      </c>
      <c r="B88" s="3" t="s">
        <v>15</v>
      </c>
      <c r="C88" s="3" t="s">
        <v>16</v>
      </c>
      <c r="D88" s="3" t="s">
        <v>35</v>
      </c>
      <c r="E88" s="3" t="s">
        <v>191</v>
      </c>
      <c r="F88" s="3" t="s">
        <v>75</v>
      </c>
      <c r="G88" s="3" t="s">
        <v>41</v>
      </c>
      <c r="H88" s="3" t="s">
        <v>37</v>
      </c>
      <c r="I88" s="3"/>
      <c r="J88" s="4" t="n">
        <v>264.5</v>
      </c>
      <c r="K88" s="3" t="s">
        <v>221</v>
      </c>
      <c r="L88" s="3" t="s">
        <v>47</v>
      </c>
      <c r="M88" s="3" t="s">
        <v>193</v>
      </c>
      <c r="N88" s="3"/>
    </row>
    <row r="89" customFormat="false" ht="15" hidden="false" customHeight="true" outlineLevel="0" collapsed="false">
      <c r="A89" s="3" t="s">
        <v>222</v>
      </c>
      <c r="B89" s="3" t="s">
        <v>15</v>
      </c>
      <c r="C89" s="3" t="s">
        <v>16</v>
      </c>
      <c r="D89" s="3" t="s">
        <v>35</v>
      </c>
      <c r="E89" s="3" t="s">
        <v>189</v>
      </c>
      <c r="F89" s="3" t="s">
        <v>37</v>
      </c>
      <c r="G89" s="3" t="s">
        <v>41</v>
      </c>
      <c r="H89" s="3" t="s">
        <v>37</v>
      </c>
      <c r="I89" s="3"/>
      <c r="J89" s="4" t="n">
        <v>259.5</v>
      </c>
      <c r="K89" s="3" t="s">
        <v>223</v>
      </c>
      <c r="L89" s="3" t="s">
        <v>47</v>
      </c>
      <c r="M89" s="3" t="s">
        <v>176</v>
      </c>
      <c r="N89" s="3"/>
    </row>
    <row r="90" customFormat="false" ht="15" hidden="false" customHeight="true" outlineLevel="0" collapsed="false">
      <c r="A90" s="3" t="s">
        <v>224</v>
      </c>
      <c r="B90" s="3" t="s">
        <v>15</v>
      </c>
      <c r="C90" s="3" t="s">
        <v>16</v>
      </c>
      <c r="D90" s="3" t="s">
        <v>35</v>
      </c>
      <c r="E90" s="3" t="s">
        <v>225</v>
      </c>
      <c r="F90" s="3" t="s">
        <v>197</v>
      </c>
      <c r="G90" s="3" t="s">
        <v>41</v>
      </c>
      <c r="H90" s="3" t="s">
        <v>37</v>
      </c>
      <c r="I90" s="3"/>
      <c r="J90" s="4" t="n">
        <v>246.1</v>
      </c>
      <c r="K90" s="3" t="s">
        <v>226</v>
      </c>
      <c r="L90" s="3" t="s">
        <v>47</v>
      </c>
      <c r="M90" s="3" t="s">
        <v>199</v>
      </c>
      <c r="N90" s="3" t="s">
        <v>50</v>
      </c>
    </row>
    <row r="91" customFormat="false" ht="15" hidden="false" customHeight="true" outlineLevel="0" collapsed="false">
      <c r="A91" s="3" t="s">
        <v>227</v>
      </c>
      <c r="B91" s="3" t="s">
        <v>15</v>
      </c>
      <c r="C91" s="3" t="s">
        <v>16</v>
      </c>
      <c r="D91" s="3" t="s">
        <v>35</v>
      </c>
      <c r="E91" s="3" t="s">
        <v>166</v>
      </c>
      <c r="F91" s="3" t="s">
        <v>171</v>
      </c>
      <c r="G91" s="3" t="s">
        <v>41</v>
      </c>
      <c r="H91" s="3" t="s">
        <v>37</v>
      </c>
      <c r="I91" s="3"/>
      <c r="J91" s="4" t="n">
        <v>241.2</v>
      </c>
      <c r="K91" s="3" t="s">
        <v>228</v>
      </c>
      <c r="L91" s="3" t="s">
        <v>22</v>
      </c>
      <c r="M91" s="3" t="s">
        <v>169</v>
      </c>
      <c r="N91" s="3"/>
    </row>
    <row r="92" customFormat="false" ht="15" hidden="false" customHeight="true" outlineLevel="0" collapsed="false">
      <c r="A92" s="3" t="s">
        <v>229</v>
      </c>
      <c r="B92" s="3" t="s">
        <v>15</v>
      </c>
      <c r="C92" s="3" t="s">
        <v>16</v>
      </c>
      <c r="D92" s="3" t="s">
        <v>35</v>
      </c>
      <c r="E92" s="3" t="s">
        <v>191</v>
      </c>
      <c r="F92" s="3" t="s">
        <v>75</v>
      </c>
      <c r="G92" s="3" t="s">
        <v>41</v>
      </c>
      <c r="H92" s="3" t="s">
        <v>37</v>
      </c>
      <c r="I92" s="3"/>
      <c r="J92" s="4" t="n">
        <v>240.6</v>
      </c>
      <c r="K92" s="3"/>
      <c r="L92" s="3" t="s">
        <v>49</v>
      </c>
      <c r="M92" s="3" t="s">
        <v>193</v>
      </c>
      <c r="N92" s="3"/>
    </row>
    <row r="93" customFormat="false" ht="15" hidden="false" customHeight="true" outlineLevel="0" collapsed="false">
      <c r="A93" s="3" t="s">
        <v>230</v>
      </c>
      <c r="B93" s="3" t="s">
        <v>15</v>
      </c>
      <c r="C93" s="3" t="s">
        <v>16</v>
      </c>
      <c r="D93" s="3" t="s">
        <v>35</v>
      </c>
      <c r="E93" s="3" t="s">
        <v>166</v>
      </c>
      <c r="F93" s="3" t="s">
        <v>171</v>
      </c>
      <c r="G93" s="3" t="s">
        <v>41</v>
      </c>
      <c r="H93" s="3" t="s">
        <v>37</v>
      </c>
      <c r="I93" s="3"/>
      <c r="J93" s="4" t="n">
        <v>214.7</v>
      </c>
      <c r="K93" s="3" t="s">
        <v>231</v>
      </c>
      <c r="L93" s="3" t="s">
        <v>47</v>
      </c>
      <c r="M93" s="3" t="s">
        <v>169</v>
      </c>
      <c r="N93" s="3"/>
    </row>
    <row r="94" customFormat="false" ht="15" hidden="false" customHeight="true" outlineLevel="0" collapsed="false">
      <c r="A94" s="3" t="s">
        <v>232</v>
      </c>
      <c r="B94" s="3" t="s">
        <v>15</v>
      </c>
      <c r="C94" s="3" t="s">
        <v>16</v>
      </c>
      <c r="D94" s="3" t="s">
        <v>35</v>
      </c>
      <c r="E94" s="3" t="s">
        <v>178</v>
      </c>
      <c r="F94" s="3" t="s">
        <v>179</v>
      </c>
      <c r="G94" s="3" t="s">
        <v>41</v>
      </c>
      <c r="H94" s="3" t="s">
        <v>37</v>
      </c>
      <c r="I94" s="3"/>
      <c r="J94" s="4" t="n">
        <v>194</v>
      </c>
      <c r="K94" s="3" t="s">
        <v>233</v>
      </c>
      <c r="L94" s="3" t="s">
        <v>47</v>
      </c>
      <c r="M94" s="3" t="s">
        <v>180</v>
      </c>
      <c r="N94" s="3" t="s">
        <v>50</v>
      </c>
    </row>
    <row r="95" customFormat="false" ht="15" hidden="false" customHeight="true" outlineLevel="0" collapsed="false">
      <c r="A95" s="3" t="s">
        <v>234</v>
      </c>
      <c r="B95" s="3" t="s">
        <v>15</v>
      </c>
      <c r="C95" s="3" t="s">
        <v>16</v>
      </c>
      <c r="D95" s="3" t="s">
        <v>35</v>
      </c>
      <c r="E95" s="3" t="s">
        <v>204</v>
      </c>
      <c r="F95" s="3" t="s">
        <v>197</v>
      </c>
      <c r="G95" s="3" t="s">
        <v>41</v>
      </c>
      <c r="H95" s="3" t="s">
        <v>37</v>
      </c>
      <c r="I95" s="3"/>
      <c r="J95" s="4" t="n">
        <v>186.9</v>
      </c>
      <c r="K95" s="3"/>
      <c r="L95" s="3" t="s">
        <v>49</v>
      </c>
      <c r="M95" s="3" t="s">
        <v>235</v>
      </c>
      <c r="N95" s="3" t="s">
        <v>50</v>
      </c>
    </row>
    <row r="96" customFormat="false" ht="15" hidden="false" customHeight="true" outlineLevel="0" collapsed="false">
      <c r="A96" s="3" t="s">
        <v>236</v>
      </c>
      <c r="B96" s="3" t="s">
        <v>15</v>
      </c>
      <c r="C96" s="3" t="s">
        <v>16</v>
      </c>
      <c r="D96" s="3" t="s">
        <v>35</v>
      </c>
      <c r="E96" s="3" t="s">
        <v>191</v>
      </c>
      <c r="F96" s="3" t="s">
        <v>237</v>
      </c>
      <c r="G96" s="3" t="s">
        <v>41</v>
      </c>
      <c r="H96" s="3" t="s">
        <v>37</v>
      </c>
      <c r="I96" s="3"/>
      <c r="J96" s="4" t="n">
        <v>161.1</v>
      </c>
      <c r="K96" s="3"/>
      <c r="L96" s="3" t="s">
        <v>49</v>
      </c>
      <c r="M96" s="3" t="s">
        <v>84</v>
      </c>
      <c r="N96" s="3"/>
    </row>
    <row r="97" customFormat="false" ht="15" hidden="false" customHeight="true" outlineLevel="0" collapsed="false">
      <c r="A97" s="3" t="s">
        <v>238</v>
      </c>
      <c r="B97" s="3" t="s">
        <v>15</v>
      </c>
      <c r="C97" s="3" t="s">
        <v>16</v>
      </c>
      <c r="D97" s="3" t="s">
        <v>35</v>
      </c>
      <c r="E97" s="3" t="s">
        <v>201</v>
      </c>
      <c r="F97" s="3" t="s">
        <v>197</v>
      </c>
      <c r="G97" s="3" t="s">
        <v>41</v>
      </c>
      <c r="H97" s="3" t="s">
        <v>37</v>
      </c>
      <c r="I97" s="3"/>
      <c r="J97" s="4" t="n">
        <v>150.8</v>
      </c>
      <c r="K97" s="3"/>
      <c r="L97" s="3" t="s">
        <v>49</v>
      </c>
      <c r="M97" s="3" t="s">
        <v>235</v>
      </c>
      <c r="N97" s="3" t="s">
        <v>50</v>
      </c>
    </row>
    <row r="98" customFormat="false" ht="15" hidden="false" customHeight="true" outlineLevel="0" collapsed="false">
      <c r="A98" s="3" t="s">
        <v>239</v>
      </c>
      <c r="B98" s="3" t="s">
        <v>15</v>
      </c>
      <c r="C98" s="3" t="s">
        <v>16</v>
      </c>
      <c r="D98" s="3" t="s">
        <v>35</v>
      </c>
      <c r="E98" s="3" t="s">
        <v>195</v>
      </c>
      <c r="F98" s="3" t="s">
        <v>179</v>
      </c>
      <c r="G98" s="3" t="s">
        <v>41</v>
      </c>
      <c r="H98" s="3" t="s">
        <v>37</v>
      </c>
      <c r="I98" s="3"/>
      <c r="J98" s="4" t="n">
        <v>148.5</v>
      </c>
      <c r="K98" s="3" t="s">
        <v>240</v>
      </c>
      <c r="L98" s="3" t="s">
        <v>22</v>
      </c>
      <c r="M98" s="3" t="s">
        <v>180</v>
      </c>
      <c r="N98" s="3"/>
    </row>
    <row r="99" customFormat="false" ht="15" hidden="false" customHeight="true" outlineLevel="0" collapsed="false">
      <c r="A99" s="3" t="s">
        <v>241</v>
      </c>
      <c r="B99" s="3" t="s">
        <v>15</v>
      </c>
      <c r="C99" s="3" t="s">
        <v>16</v>
      </c>
      <c r="D99" s="3" t="s">
        <v>35</v>
      </c>
      <c r="E99" s="3" t="s">
        <v>225</v>
      </c>
      <c r="F99" s="3" t="s">
        <v>197</v>
      </c>
      <c r="G99" s="3" t="s">
        <v>41</v>
      </c>
      <c r="H99" s="3" t="s">
        <v>37</v>
      </c>
      <c r="I99" s="3"/>
      <c r="J99" s="4" t="n">
        <v>140.4</v>
      </c>
      <c r="K99" s="3" t="s">
        <v>242</v>
      </c>
      <c r="L99" s="3" t="s">
        <v>47</v>
      </c>
      <c r="M99" s="3" t="s">
        <v>199</v>
      </c>
      <c r="N99" s="3" t="s">
        <v>50</v>
      </c>
    </row>
    <row r="100" customFormat="false" ht="15" hidden="false" customHeight="true" outlineLevel="0" collapsed="false">
      <c r="A100" s="3" t="s">
        <v>243</v>
      </c>
      <c r="B100" s="3" t="s">
        <v>15</v>
      </c>
      <c r="C100" s="3" t="s">
        <v>16</v>
      </c>
      <c r="D100" s="3" t="s">
        <v>35</v>
      </c>
      <c r="E100" s="3" t="s">
        <v>204</v>
      </c>
      <c r="F100" s="3" t="s">
        <v>179</v>
      </c>
      <c r="G100" s="3" t="s">
        <v>41</v>
      </c>
      <c r="H100" s="3" t="s">
        <v>37</v>
      </c>
      <c r="I100" s="3"/>
      <c r="J100" s="4" t="n">
        <v>123.5</v>
      </c>
      <c r="K100" s="3" t="s">
        <v>244</v>
      </c>
      <c r="L100" s="3" t="s">
        <v>245</v>
      </c>
      <c r="M100" s="3" t="s">
        <v>180</v>
      </c>
      <c r="N100" s="3" t="s">
        <v>50</v>
      </c>
    </row>
    <row r="101" customFormat="false" ht="15" hidden="false" customHeight="true" outlineLevel="0" collapsed="false">
      <c r="A101" s="3" t="s">
        <v>246</v>
      </c>
      <c r="B101" s="3" t="s">
        <v>15</v>
      </c>
      <c r="C101" s="3" t="s">
        <v>16</v>
      </c>
      <c r="D101" s="3" t="s">
        <v>35</v>
      </c>
      <c r="E101" s="3" t="s">
        <v>174</v>
      </c>
      <c r="F101" s="3" t="s">
        <v>37</v>
      </c>
      <c r="G101" s="3" t="s">
        <v>41</v>
      </c>
      <c r="H101" s="3" t="s">
        <v>37</v>
      </c>
      <c r="I101" s="3"/>
      <c r="J101" s="4" t="n">
        <v>111.6</v>
      </c>
      <c r="K101" s="3"/>
      <c r="L101" s="3" t="s">
        <v>49</v>
      </c>
      <c r="M101" s="3" t="s">
        <v>176</v>
      </c>
      <c r="N101" s="3"/>
    </row>
    <row r="102" customFormat="false" ht="15" hidden="false" customHeight="true" outlineLevel="0" collapsed="false">
      <c r="A102" s="3" t="s">
        <v>247</v>
      </c>
      <c r="B102" s="3" t="s">
        <v>15</v>
      </c>
      <c r="C102" s="3" t="s">
        <v>16</v>
      </c>
      <c r="D102" s="3" t="s">
        <v>35</v>
      </c>
      <c r="E102" s="3" t="s">
        <v>191</v>
      </c>
      <c r="F102" s="3" t="s">
        <v>75</v>
      </c>
      <c r="G102" s="3" t="s">
        <v>41</v>
      </c>
      <c r="H102" s="3" t="s">
        <v>37</v>
      </c>
      <c r="I102" s="3"/>
      <c r="J102" s="4" t="n">
        <v>84.5</v>
      </c>
      <c r="K102" s="3" t="s">
        <v>248</v>
      </c>
      <c r="L102" s="3" t="s">
        <v>47</v>
      </c>
      <c r="M102" s="3" t="s">
        <v>193</v>
      </c>
      <c r="N102" s="3"/>
    </row>
    <row r="103" customFormat="false" ht="15" hidden="false" customHeight="true" outlineLevel="0" collapsed="false">
      <c r="A103" s="3" t="s">
        <v>249</v>
      </c>
      <c r="B103" s="3" t="s">
        <v>15</v>
      </c>
      <c r="C103" s="3" t="s">
        <v>16</v>
      </c>
      <c r="D103" s="3" t="s">
        <v>35</v>
      </c>
      <c r="E103" s="3" t="s">
        <v>178</v>
      </c>
      <c r="F103" s="3" t="s">
        <v>197</v>
      </c>
      <c r="G103" s="3" t="s">
        <v>41</v>
      </c>
      <c r="H103" s="3" t="s">
        <v>37</v>
      </c>
      <c r="I103" s="3"/>
      <c r="J103" s="4" t="n">
        <v>72</v>
      </c>
      <c r="K103" s="3" t="s">
        <v>250</v>
      </c>
      <c r="L103" s="3" t="s">
        <v>47</v>
      </c>
      <c r="M103" s="3" t="s">
        <v>199</v>
      </c>
      <c r="N103" s="3" t="s">
        <v>50</v>
      </c>
    </row>
    <row r="104" customFormat="false" ht="15" hidden="false" customHeight="true" outlineLevel="0" collapsed="false">
      <c r="A104" s="3" t="s">
        <v>251</v>
      </c>
      <c r="B104" s="3" t="s">
        <v>15</v>
      </c>
      <c r="C104" s="3" t="s">
        <v>16</v>
      </c>
      <c r="D104" s="3" t="s">
        <v>35</v>
      </c>
      <c r="E104" s="3" t="s">
        <v>189</v>
      </c>
      <c r="F104" s="3" t="s">
        <v>37</v>
      </c>
      <c r="G104" s="3" t="s">
        <v>41</v>
      </c>
      <c r="H104" s="3" t="s">
        <v>37</v>
      </c>
      <c r="I104" s="3"/>
      <c r="J104" s="4" t="n">
        <v>67.1</v>
      </c>
      <c r="K104" s="3" t="s">
        <v>252</v>
      </c>
      <c r="L104" s="3" t="s">
        <v>47</v>
      </c>
      <c r="M104" s="3" t="s">
        <v>176</v>
      </c>
      <c r="N104" s="3"/>
    </row>
    <row r="105" customFormat="false" ht="15" hidden="false" customHeight="true" outlineLevel="0" collapsed="false">
      <c r="A105" s="3" t="s">
        <v>253</v>
      </c>
      <c r="B105" s="3" t="s">
        <v>15</v>
      </c>
      <c r="C105" s="3" t="s">
        <v>16</v>
      </c>
      <c r="D105" s="3" t="s">
        <v>35</v>
      </c>
      <c r="E105" s="3" t="s">
        <v>207</v>
      </c>
      <c r="F105" s="3" t="s">
        <v>179</v>
      </c>
      <c r="G105" s="3" t="s">
        <v>41</v>
      </c>
      <c r="H105" s="3" t="s">
        <v>37</v>
      </c>
      <c r="I105" s="3"/>
      <c r="J105" s="4" t="n">
        <v>45</v>
      </c>
      <c r="K105" s="3" t="s">
        <v>254</v>
      </c>
      <c r="L105" s="3" t="s">
        <v>47</v>
      </c>
      <c r="M105" s="3" t="s">
        <v>180</v>
      </c>
      <c r="N105" s="3" t="s">
        <v>50</v>
      </c>
    </row>
    <row r="106" customFormat="false" ht="15" hidden="false" customHeight="true" outlineLevel="0" collapsed="false">
      <c r="A106" s="3" t="s">
        <v>255</v>
      </c>
      <c r="B106" s="3" t="s">
        <v>15</v>
      </c>
      <c r="C106" s="3" t="s">
        <v>16</v>
      </c>
      <c r="D106" s="3" t="s">
        <v>35</v>
      </c>
      <c r="E106" s="3" t="s">
        <v>201</v>
      </c>
      <c r="F106" s="3" t="s">
        <v>197</v>
      </c>
      <c r="G106" s="3" t="s">
        <v>41</v>
      </c>
      <c r="H106" s="3" t="s">
        <v>37</v>
      </c>
      <c r="I106" s="3"/>
      <c r="J106" s="4" t="n">
        <v>37.7</v>
      </c>
      <c r="K106" s="3" t="s">
        <v>256</v>
      </c>
      <c r="L106" s="3" t="s">
        <v>245</v>
      </c>
      <c r="M106" s="3" t="s">
        <v>235</v>
      </c>
      <c r="N106" s="3" t="s">
        <v>50</v>
      </c>
    </row>
    <row r="107" customFormat="false" ht="15" hidden="false" customHeight="true" outlineLevel="0" collapsed="false">
      <c r="A107" s="3" t="s">
        <v>257</v>
      </c>
      <c r="B107" s="3" t="s">
        <v>15</v>
      </c>
      <c r="C107" s="3" t="s">
        <v>16</v>
      </c>
      <c r="D107" s="3" t="s">
        <v>35</v>
      </c>
      <c r="E107" s="3" t="s">
        <v>195</v>
      </c>
      <c r="F107" s="3" t="s">
        <v>179</v>
      </c>
      <c r="G107" s="3" t="s">
        <v>41</v>
      </c>
      <c r="H107" s="3" t="s">
        <v>37</v>
      </c>
      <c r="I107" s="3"/>
      <c r="J107" s="4" t="n">
        <v>36.1</v>
      </c>
      <c r="K107" s="3" t="s">
        <v>258</v>
      </c>
      <c r="L107" s="3" t="s">
        <v>245</v>
      </c>
      <c r="M107" s="3" t="s">
        <v>180</v>
      </c>
      <c r="N107" s="3"/>
    </row>
    <row r="108" customFormat="false" ht="15" hidden="false" customHeight="true" outlineLevel="0" collapsed="false">
      <c r="A108" s="3" t="s">
        <v>259</v>
      </c>
      <c r="B108" s="3" t="s">
        <v>15</v>
      </c>
      <c r="C108" s="3" t="s">
        <v>16</v>
      </c>
      <c r="D108" s="3" t="s">
        <v>35</v>
      </c>
      <c r="E108" s="3" t="s">
        <v>201</v>
      </c>
      <c r="F108" s="3" t="s">
        <v>197</v>
      </c>
      <c r="G108" s="3" t="s">
        <v>41</v>
      </c>
      <c r="H108" s="3" t="s">
        <v>37</v>
      </c>
      <c r="I108" s="3"/>
      <c r="J108" s="4" t="n">
        <v>35.3</v>
      </c>
      <c r="K108" s="3" t="s">
        <v>260</v>
      </c>
      <c r="L108" s="3" t="s">
        <v>47</v>
      </c>
      <c r="M108" s="3" t="s">
        <v>235</v>
      </c>
      <c r="N108" s="3" t="s">
        <v>50</v>
      </c>
    </row>
    <row r="109" customFormat="false" ht="15" hidden="false" customHeight="true" outlineLevel="0" collapsed="false">
      <c r="A109" s="3" t="s">
        <v>261</v>
      </c>
      <c r="B109" s="3" t="s">
        <v>15</v>
      </c>
      <c r="C109" s="3" t="s">
        <v>16</v>
      </c>
      <c r="D109" s="3" t="s">
        <v>35</v>
      </c>
      <c r="E109" s="3" t="s">
        <v>207</v>
      </c>
      <c r="F109" s="3" t="s">
        <v>179</v>
      </c>
      <c r="G109" s="3" t="s">
        <v>41</v>
      </c>
      <c r="H109" s="3" t="s">
        <v>37</v>
      </c>
      <c r="I109" s="3"/>
      <c r="J109" s="4" t="n">
        <v>25.2</v>
      </c>
      <c r="K109" s="3"/>
      <c r="L109" s="3" t="s">
        <v>49</v>
      </c>
      <c r="M109" s="3" t="s">
        <v>180</v>
      </c>
      <c r="N109" s="3" t="s">
        <v>50</v>
      </c>
    </row>
    <row r="110" customFormat="false" ht="15" hidden="false" customHeight="true" outlineLevel="0" collapsed="false">
      <c r="A110" s="3" t="s">
        <v>262</v>
      </c>
      <c r="B110" s="3" t="s">
        <v>15</v>
      </c>
      <c r="C110" s="3" t="s">
        <v>16</v>
      </c>
      <c r="D110" s="3" t="s">
        <v>35</v>
      </c>
      <c r="E110" s="3" t="s">
        <v>204</v>
      </c>
      <c r="F110" s="3" t="s">
        <v>179</v>
      </c>
      <c r="G110" s="3" t="s">
        <v>41</v>
      </c>
      <c r="H110" s="3" t="s">
        <v>37</v>
      </c>
      <c r="I110" s="3"/>
      <c r="J110" s="4" t="n">
        <v>24.9</v>
      </c>
      <c r="K110" s="3" t="s">
        <v>263</v>
      </c>
      <c r="L110" s="3" t="s">
        <v>47</v>
      </c>
      <c r="M110" s="3" t="s">
        <v>180</v>
      </c>
      <c r="N110" s="3" t="s">
        <v>50</v>
      </c>
    </row>
    <row r="111" customFormat="false" ht="15" hidden="false" customHeight="true" outlineLevel="0" collapsed="false">
      <c r="A111" s="3" t="s">
        <v>264</v>
      </c>
      <c r="B111" s="3" t="s">
        <v>15</v>
      </c>
      <c r="C111" s="3" t="s">
        <v>16</v>
      </c>
      <c r="D111" s="3" t="s">
        <v>35</v>
      </c>
      <c r="E111" s="3" t="s">
        <v>201</v>
      </c>
      <c r="F111" s="3" t="s">
        <v>197</v>
      </c>
      <c r="G111" s="3" t="s">
        <v>41</v>
      </c>
      <c r="H111" s="3" t="s">
        <v>37</v>
      </c>
      <c r="I111" s="3"/>
      <c r="J111" s="4" t="n">
        <v>23.6</v>
      </c>
      <c r="K111" s="3"/>
      <c r="L111" s="3" t="s">
        <v>49</v>
      </c>
      <c r="M111" s="3" t="s">
        <v>235</v>
      </c>
      <c r="N111" s="3" t="s">
        <v>50</v>
      </c>
    </row>
    <row r="112" customFormat="false" ht="15" hidden="false" customHeight="true" outlineLevel="0" collapsed="false">
      <c r="A112" s="3" t="s">
        <v>265</v>
      </c>
      <c r="B112" s="3" t="s">
        <v>15</v>
      </c>
      <c r="C112" s="3" t="s">
        <v>16</v>
      </c>
      <c r="D112" s="3" t="s">
        <v>35</v>
      </c>
      <c r="E112" s="3" t="s">
        <v>207</v>
      </c>
      <c r="F112" s="3" t="s">
        <v>179</v>
      </c>
      <c r="G112" s="3" t="s">
        <v>41</v>
      </c>
      <c r="H112" s="3" t="s">
        <v>37</v>
      </c>
      <c r="I112" s="3"/>
      <c r="J112" s="4" t="n">
        <v>21.1</v>
      </c>
      <c r="K112" s="3" t="s">
        <v>266</v>
      </c>
      <c r="L112" s="3" t="s">
        <v>245</v>
      </c>
      <c r="M112" s="3" t="s">
        <v>180</v>
      </c>
      <c r="N112" s="3" t="s">
        <v>50</v>
      </c>
    </row>
    <row r="113" customFormat="false" ht="15" hidden="false" customHeight="true" outlineLevel="0" collapsed="false">
      <c r="A113" s="3" t="s">
        <v>267</v>
      </c>
      <c r="B113" s="3" t="s">
        <v>15</v>
      </c>
      <c r="C113" s="3" t="s">
        <v>16</v>
      </c>
      <c r="D113" s="3" t="s">
        <v>35</v>
      </c>
      <c r="E113" s="3" t="s">
        <v>207</v>
      </c>
      <c r="F113" s="3" t="s">
        <v>179</v>
      </c>
      <c r="G113" s="3" t="s">
        <v>41</v>
      </c>
      <c r="H113" s="3" t="s">
        <v>37</v>
      </c>
      <c r="I113" s="3"/>
      <c r="J113" s="4" t="n">
        <v>15</v>
      </c>
      <c r="K113" s="3" t="s">
        <v>268</v>
      </c>
      <c r="L113" s="3" t="s">
        <v>47</v>
      </c>
      <c r="M113" s="3" t="s">
        <v>180</v>
      </c>
      <c r="N113" s="3" t="s">
        <v>50</v>
      </c>
    </row>
    <row r="114" customFormat="false" ht="15" hidden="false" customHeight="true" outlineLevel="0" collapsed="false">
      <c r="A114" s="3" t="s">
        <v>269</v>
      </c>
      <c r="B114" s="3" t="s">
        <v>15</v>
      </c>
      <c r="C114" s="3" t="s">
        <v>16</v>
      </c>
      <c r="D114" s="3" t="s">
        <v>35</v>
      </c>
      <c r="E114" s="3" t="s">
        <v>201</v>
      </c>
      <c r="F114" s="3" t="s">
        <v>197</v>
      </c>
      <c r="G114" s="3" t="s">
        <v>41</v>
      </c>
      <c r="H114" s="3" t="s">
        <v>37</v>
      </c>
      <c r="I114" s="3"/>
      <c r="J114" s="4" t="n">
        <v>11</v>
      </c>
      <c r="K114" s="3"/>
      <c r="L114" s="3" t="s">
        <v>49</v>
      </c>
      <c r="M114" s="3" t="s">
        <v>235</v>
      </c>
      <c r="N114" s="3" t="s">
        <v>50</v>
      </c>
    </row>
    <row r="115" customFormat="false" ht="15" hidden="false" customHeight="true" outlineLevel="0" collapsed="false">
      <c r="A115" s="3" t="s">
        <v>270</v>
      </c>
      <c r="B115" s="3" t="s">
        <v>15</v>
      </c>
      <c r="C115" s="3" t="s">
        <v>16</v>
      </c>
      <c r="D115" s="3" t="s">
        <v>35</v>
      </c>
      <c r="E115" s="3" t="s">
        <v>178</v>
      </c>
      <c r="F115" s="3" t="s">
        <v>197</v>
      </c>
      <c r="G115" s="3" t="s">
        <v>41</v>
      </c>
      <c r="H115" s="3" t="s">
        <v>37</v>
      </c>
      <c r="I115" s="3"/>
      <c r="J115" s="4" t="n">
        <v>9.5</v>
      </c>
      <c r="K115" s="3"/>
      <c r="L115" s="3" t="s">
        <v>49</v>
      </c>
      <c r="M115" s="3" t="s">
        <v>235</v>
      </c>
      <c r="N115" s="3" t="s">
        <v>50</v>
      </c>
    </row>
    <row r="116" customFormat="false" ht="15" hidden="false" customHeight="true" outlineLevel="0" collapsed="false">
      <c r="A116" s="3" t="s">
        <v>271</v>
      </c>
      <c r="B116" s="3" t="s">
        <v>15</v>
      </c>
      <c r="C116" s="3" t="s">
        <v>16</v>
      </c>
      <c r="D116" s="3" t="s">
        <v>35</v>
      </c>
      <c r="E116" s="3" t="s">
        <v>191</v>
      </c>
      <c r="F116" s="3" t="s">
        <v>75</v>
      </c>
      <c r="G116" s="3" t="s">
        <v>41</v>
      </c>
      <c r="H116" s="3" t="s">
        <v>37</v>
      </c>
      <c r="I116" s="3"/>
      <c r="J116" s="4" t="n">
        <v>9.3</v>
      </c>
      <c r="K116" s="3" t="s">
        <v>272</v>
      </c>
      <c r="L116" s="3" t="s">
        <v>47</v>
      </c>
      <c r="M116" s="3" t="s">
        <v>193</v>
      </c>
      <c r="N116" s="3"/>
    </row>
    <row r="117" customFormat="false" ht="15" hidden="false" customHeight="true" outlineLevel="0" collapsed="false">
      <c r="A117" s="3" t="s">
        <v>273</v>
      </c>
      <c r="B117" s="3" t="s">
        <v>15</v>
      </c>
      <c r="C117" s="3" t="s">
        <v>16</v>
      </c>
      <c r="D117" s="3" t="s">
        <v>35</v>
      </c>
      <c r="E117" s="3" t="s">
        <v>274</v>
      </c>
      <c r="F117" s="3" t="s">
        <v>197</v>
      </c>
      <c r="G117" s="3" t="s">
        <v>41</v>
      </c>
      <c r="H117" s="3" t="s">
        <v>37</v>
      </c>
      <c r="I117" s="3"/>
      <c r="J117" s="4" t="n">
        <v>8.2</v>
      </c>
      <c r="K117" s="3" t="s">
        <v>275</v>
      </c>
      <c r="L117" s="3" t="s">
        <v>245</v>
      </c>
      <c r="M117" s="3" t="s">
        <v>235</v>
      </c>
      <c r="N117" s="3" t="s">
        <v>50</v>
      </c>
    </row>
    <row r="118" customFormat="false" ht="15" hidden="false" customHeight="true" outlineLevel="0" collapsed="false">
      <c r="A118" s="3" t="s">
        <v>276</v>
      </c>
      <c r="B118" s="3" t="s">
        <v>15</v>
      </c>
      <c r="C118" s="3" t="s">
        <v>16</v>
      </c>
      <c r="D118" s="3" t="s">
        <v>35</v>
      </c>
      <c r="E118" s="3" t="s">
        <v>204</v>
      </c>
      <c r="F118" s="3" t="s">
        <v>179</v>
      </c>
      <c r="G118" s="3" t="s">
        <v>41</v>
      </c>
      <c r="H118" s="3" t="s">
        <v>37</v>
      </c>
      <c r="I118" s="3"/>
      <c r="J118" s="4" t="n">
        <v>5.2</v>
      </c>
      <c r="K118" s="3" t="s">
        <v>244</v>
      </c>
      <c r="L118" s="3" t="s">
        <v>245</v>
      </c>
      <c r="M118" s="3" t="s">
        <v>180</v>
      </c>
      <c r="N118" s="3" t="s">
        <v>50</v>
      </c>
    </row>
    <row r="119" customFormat="false" ht="15" hidden="false" customHeight="true" outlineLevel="0" collapsed="false">
      <c r="A119" s="3" t="s">
        <v>277</v>
      </c>
      <c r="B119" s="3" t="s">
        <v>15</v>
      </c>
      <c r="C119" s="3" t="s">
        <v>16</v>
      </c>
      <c r="D119" s="3" t="s">
        <v>35</v>
      </c>
      <c r="E119" s="3" t="s">
        <v>178</v>
      </c>
      <c r="F119" s="3" t="s">
        <v>179</v>
      </c>
      <c r="G119" s="3" t="s">
        <v>41</v>
      </c>
      <c r="H119" s="3" t="s">
        <v>37</v>
      </c>
      <c r="I119" s="3"/>
      <c r="J119" s="4" t="n">
        <v>4.5</v>
      </c>
      <c r="K119" s="3"/>
      <c r="L119" s="3" t="s">
        <v>49</v>
      </c>
      <c r="M119" s="3" t="s">
        <v>180</v>
      </c>
      <c r="N119" s="3" t="s">
        <v>50</v>
      </c>
    </row>
    <row r="120" customFormat="false" ht="15" hidden="false" customHeight="true" outlineLevel="0" collapsed="false">
      <c r="A120" s="3" t="s">
        <v>278</v>
      </c>
      <c r="B120" s="3" t="s">
        <v>15</v>
      </c>
      <c r="C120" s="3" t="s">
        <v>16</v>
      </c>
      <c r="D120" s="3" t="s">
        <v>35</v>
      </c>
      <c r="E120" s="3" t="s">
        <v>274</v>
      </c>
      <c r="F120" s="3" t="s">
        <v>197</v>
      </c>
      <c r="G120" s="3" t="s">
        <v>41</v>
      </c>
      <c r="H120" s="3" t="s">
        <v>37</v>
      </c>
      <c r="I120" s="3"/>
      <c r="J120" s="4" t="n">
        <v>4.4</v>
      </c>
      <c r="K120" s="3" t="s">
        <v>275</v>
      </c>
      <c r="L120" s="3" t="s">
        <v>245</v>
      </c>
      <c r="M120" s="3" t="s">
        <v>199</v>
      </c>
      <c r="N120" s="3" t="s">
        <v>50</v>
      </c>
    </row>
    <row r="121" customFormat="false" ht="15" hidden="false" customHeight="true" outlineLevel="0" collapsed="false">
      <c r="A121" s="3" t="s">
        <v>279</v>
      </c>
      <c r="B121" s="3" t="s">
        <v>15</v>
      </c>
      <c r="C121" s="3" t="s">
        <v>16</v>
      </c>
      <c r="D121" s="3" t="s">
        <v>35</v>
      </c>
      <c r="E121" s="3" t="s">
        <v>274</v>
      </c>
      <c r="F121" s="3" t="s">
        <v>197</v>
      </c>
      <c r="G121" s="3" t="s">
        <v>41</v>
      </c>
      <c r="H121" s="3" t="s">
        <v>37</v>
      </c>
      <c r="I121" s="3"/>
      <c r="J121" s="4" t="n">
        <v>3</v>
      </c>
      <c r="K121" s="3" t="s">
        <v>280</v>
      </c>
      <c r="L121" s="3" t="s">
        <v>47</v>
      </c>
      <c r="M121" s="3" t="s">
        <v>235</v>
      </c>
      <c r="N121" s="3" t="s">
        <v>50</v>
      </c>
    </row>
    <row r="122" customFormat="false" ht="15" hidden="false" customHeight="true" outlineLevel="0" collapsed="false">
      <c r="A122" s="3" t="s">
        <v>281</v>
      </c>
      <c r="B122" s="3" t="s">
        <v>15</v>
      </c>
      <c r="C122" s="3" t="s">
        <v>16</v>
      </c>
      <c r="D122" s="3" t="s">
        <v>35</v>
      </c>
      <c r="E122" s="3" t="s">
        <v>189</v>
      </c>
      <c r="F122" s="3" t="s">
        <v>37</v>
      </c>
      <c r="G122" s="3" t="s">
        <v>41</v>
      </c>
      <c r="H122" s="3" t="s">
        <v>37</v>
      </c>
      <c r="I122" s="3"/>
      <c r="J122" s="4" t="n">
        <v>2</v>
      </c>
      <c r="K122" s="3"/>
      <c r="L122" s="3" t="s">
        <v>49</v>
      </c>
      <c r="M122" s="3" t="s">
        <v>176</v>
      </c>
      <c r="N122" s="3"/>
    </row>
    <row r="123" customFormat="false" ht="15" hidden="false" customHeight="true" outlineLevel="0" collapsed="false">
      <c r="A123" s="3" t="s">
        <v>282</v>
      </c>
      <c r="B123" s="3" t="s">
        <v>15</v>
      </c>
      <c r="C123" s="3" t="s">
        <v>16</v>
      </c>
      <c r="D123" s="3" t="s">
        <v>35</v>
      </c>
      <c r="E123" s="3" t="s">
        <v>178</v>
      </c>
      <c r="F123" s="3" t="s">
        <v>197</v>
      </c>
      <c r="G123" s="3" t="s">
        <v>41</v>
      </c>
      <c r="H123" s="3" t="s">
        <v>37</v>
      </c>
      <c r="I123" s="3"/>
      <c r="J123" s="4" t="n">
        <v>1.1</v>
      </c>
      <c r="K123" s="3" t="s">
        <v>283</v>
      </c>
      <c r="L123" s="3" t="s">
        <v>47</v>
      </c>
      <c r="M123" s="3" t="s">
        <v>235</v>
      </c>
      <c r="N123" s="3" t="s">
        <v>50</v>
      </c>
    </row>
    <row r="124" customFormat="false" ht="15" hidden="false" customHeight="true" outlineLevel="0" collapsed="false">
      <c r="A124" s="3" t="s">
        <v>284</v>
      </c>
      <c r="B124" s="3" t="s">
        <v>15</v>
      </c>
      <c r="C124" s="3" t="s">
        <v>16</v>
      </c>
      <c r="D124" s="3" t="s">
        <v>35</v>
      </c>
      <c r="E124" s="3" t="s">
        <v>191</v>
      </c>
      <c r="F124" s="3" t="s">
        <v>75</v>
      </c>
      <c r="G124" s="3" t="s">
        <v>41</v>
      </c>
      <c r="H124" s="3" t="s">
        <v>37</v>
      </c>
      <c r="I124" s="3"/>
      <c r="J124" s="4" t="n">
        <v>1</v>
      </c>
      <c r="K124" s="3" t="s">
        <v>285</v>
      </c>
      <c r="L124" s="3" t="s">
        <v>22</v>
      </c>
      <c r="M124" s="3" t="s">
        <v>193</v>
      </c>
      <c r="N124" s="3"/>
    </row>
    <row r="125" customFormat="false" ht="15" hidden="false" customHeight="true" outlineLevel="0" collapsed="false">
      <c r="A125" s="3" t="s">
        <v>286</v>
      </c>
      <c r="B125" s="3" t="s">
        <v>15</v>
      </c>
      <c r="C125" s="3" t="s">
        <v>16</v>
      </c>
      <c r="D125" s="3" t="s">
        <v>35</v>
      </c>
      <c r="E125" s="3" t="s">
        <v>178</v>
      </c>
      <c r="F125" s="3" t="s">
        <v>197</v>
      </c>
      <c r="G125" s="3" t="s">
        <v>41</v>
      </c>
      <c r="H125" s="3" t="s">
        <v>37</v>
      </c>
      <c r="I125" s="3"/>
      <c r="J125" s="4" t="n">
        <v>0.8</v>
      </c>
      <c r="K125" s="3"/>
      <c r="L125" s="3" t="s">
        <v>49</v>
      </c>
      <c r="M125" s="3" t="s">
        <v>235</v>
      </c>
      <c r="N125" s="3" t="s">
        <v>50</v>
      </c>
    </row>
    <row r="126" customFormat="false" ht="15" hidden="false" customHeight="true" outlineLevel="0" collapsed="false">
      <c r="A126" s="3" t="s">
        <v>287</v>
      </c>
      <c r="B126" s="3" t="s">
        <v>15</v>
      </c>
      <c r="C126" s="3" t="s">
        <v>16</v>
      </c>
      <c r="D126" s="3" t="s">
        <v>35</v>
      </c>
      <c r="E126" s="3" t="s">
        <v>274</v>
      </c>
      <c r="F126" s="3" t="s">
        <v>197</v>
      </c>
      <c r="G126" s="3" t="s">
        <v>41</v>
      </c>
      <c r="H126" s="3" t="s">
        <v>37</v>
      </c>
      <c r="I126" s="3"/>
      <c r="J126" s="4" t="n">
        <v>0.8</v>
      </c>
      <c r="K126" s="3" t="s">
        <v>288</v>
      </c>
      <c r="L126" s="3" t="s">
        <v>47</v>
      </c>
      <c r="M126" s="3" t="s">
        <v>235</v>
      </c>
      <c r="N126" s="3" t="s">
        <v>50</v>
      </c>
    </row>
    <row r="127" customFormat="false" ht="15" hidden="false" customHeight="true" outlineLevel="0" collapsed="false">
      <c r="A127" s="3" t="s">
        <v>289</v>
      </c>
      <c r="B127" s="3" t="s">
        <v>15</v>
      </c>
      <c r="C127" s="3" t="s">
        <v>16</v>
      </c>
      <c r="D127" s="3" t="s">
        <v>35</v>
      </c>
      <c r="E127" s="3" t="s">
        <v>178</v>
      </c>
      <c r="F127" s="3" t="s">
        <v>197</v>
      </c>
      <c r="G127" s="3" t="s">
        <v>41</v>
      </c>
      <c r="H127" s="3" t="s">
        <v>37</v>
      </c>
      <c r="I127" s="3"/>
      <c r="J127" s="4" t="n">
        <v>0.7</v>
      </c>
      <c r="K127" s="3"/>
      <c r="L127" s="3" t="s">
        <v>49</v>
      </c>
      <c r="M127" s="3" t="s">
        <v>235</v>
      </c>
      <c r="N127" s="3" t="s">
        <v>50</v>
      </c>
    </row>
    <row r="128" customFormat="false" ht="15" hidden="false" customHeight="true" outlineLevel="0" collapsed="false">
      <c r="A128" s="3" t="s">
        <v>290</v>
      </c>
      <c r="B128" s="3" t="s">
        <v>15</v>
      </c>
      <c r="C128" s="3" t="s">
        <v>16</v>
      </c>
      <c r="D128" s="3" t="s">
        <v>35</v>
      </c>
      <c r="E128" s="3" t="s">
        <v>189</v>
      </c>
      <c r="F128" s="3" t="s">
        <v>37</v>
      </c>
      <c r="G128" s="3" t="s">
        <v>41</v>
      </c>
      <c r="H128" s="3" t="s">
        <v>37</v>
      </c>
      <c r="I128" s="3"/>
      <c r="J128" s="4" t="n">
        <v>0.7</v>
      </c>
      <c r="K128" s="3" t="s">
        <v>291</v>
      </c>
      <c r="L128" s="3" t="s">
        <v>47</v>
      </c>
      <c r="M128" s="3" t="s">
        <v>176</v>
      </c>
      <c r="N128" s="3"/>
    </row>
    <row r="129" customFormat="false" ht="15" hidden="false" customHeight="true" outlineLevel="0" collapsed="false">
      <c r="A129" s="3" t="s">
        <v>292</v>
      </c>
      <c r="B129" s="3" t="s">
        <v>15</v>
      </c>
      <c r="C129" s="3" t="s">
        <v>16</v>
      </c>
      <c r="D129" s="3" t="s">
        <v>35</v>
      </c>
      <c r="E129" s="3" t="s">
        <v>201</v>
      </c>
      <c r="F129" s="3" t="s">
        <v>197</v>
      </c>
      <c r="G129" s="3" t="s">
        <v>41</v>
      </c>
      <c r="H129" s="3" t="s">
        <v>37</v>
      </c>
      <c r="I129" s="3"/>
      <c r="J129" s="4" t="n">
        <v>0.4</v>
      </c>
      <c r="K129" s="3" t="s">
        <v>293</v>
      </c>
      <c r="L129" s="3" t="s">
        <v>47</v>
      </c>
      <c r="M129" s="3" t="s">
        <v>235</v>
      </c>
      <c r="N129" s="3" t="s">
        <v>50</v>
      </c>
    </row>
    <row r="130" customFormat="false" ht="15" hidden="false" customHeight="true" outlineLevel="0" collapsed="false">
      <c r="A130" s="3" t="s">
        <v>294</v>
      </c>
      <c r="B130" s="3" t="s">
        <v>15</v>
      </c>
      <c r="C130" s="3" t="s">
        <v>16</v>
      </c>
      <c r="D130" s="3" t="s">
        <v>35</v>
      </c>
      <c r="E130" s="3" t="s">
        <v>166</v>
      </c>
      <c r="F130" s="3" t="s">
        <v>171</v>
      </c>
      <c r="G130" s="3" t="s">
        <v>41</v>
      </c>
      <c r="H130" s="3" t="s">
        <v>37</v>
      </c>
      <c r="I130" s="3"/>
      <c r="J130" s="4" t="n">
        <v>0.2</v>
      </c>
      <c r="K130" s="3" t="s">
        <v>295</v>
      </c>
      <c r="L130" s="3" t="s">
        <v>22</v>
      </c>
      <c r="M130" s="3" t="s">
        <v>169</v>
      </c>
      <c r="N130" s="3"/>
    </row>
    <row r="131" customFormat="false" ht="15" hidden="false" customHeight="true" outlineLevel="0" collapsed="false">
      <c r="A131" s="3" t="s">
        <v>296</v>
      </c>
      <c r="B131" s="3" t="s">
        <v>15</v>
      </c>
      <c r="C131" s="3" t="s">
        <v>16</v>
      </c>
      <c r="D131" s="3" t="s">
        <v>35</v>
      </c>
      <c r="E131" s="3" t="s">
        <v>207</v>
      </c>
      <c r="F131" s="3" t="s">
        <v>179</v>
      </c>
      <c r="G131" s="3" t="s">
        <v>41</v>
      </c>
      <c r="H131" s="3" t="s">
        <v>37</v>
      </c>
      <c r="I131" s="3"/>
      <c r="J131" s="4" t="n">
        <v>0.1</v>
      </c>
      <c r="K131" s="3" t="s">
        <v>297</v>
      </c>
      <c r="L131" s="3" t="s">
        <v>47</v>
      </c>
      <c r="M131" s="3" t="s">
        <v>180</v>
      </c>
      <c r="N131" s="3" t="s">
        <v>50</v>
      </c>
    </row>
    <row r="132" customFormat="false" ht="15" hidden="false" customHeight="true" outlineLevel="0" collapsed="false">
      <c r="A132" s="3" t="s">
        <v>298</v>
      </c>
      <c r="B132" s="3" t="s">
        <v>15</v>
      </c>
      <c r="C132" s="3" t="s">
        <v>16</v>
      </c>
      <c r="D132" s="3" t="s">
        <v>35</v>
      </c>
      <c r="E132" s="3" t="s">
        <v>207</v>
      </c>
      <c r="F132" s="3" t="s">
        <v>179</v>
      </c>
      <c r="G132" s="3" t="s">
        <v>41</v>
      </c>
      <c r="H132" s="3" t="s">
        <v>37</v>
      </c>
      <c r="I132" s="3"/>
      <c r="J132" s="4" t="n">
        <v>0</v>
      </c>
      <c r="K132" s="3"/>
      <c r="L132" s="3" t="s">
        <v>49</v>
      </c>
      <c r="M132" s="3" t="s">
        <v>180</v>
      </c>
      <c r="N132" s="3" t="s">
        <v>50</v>
      </c>
    </row>
    <row r="133" customFormat="false" ht="15" hidden="false" customHeight="true" outlineLevel="0" collapsed="false">
      <c r="A133" s="3" t="s">
        <v>299</v>
      </c>
      <c r="B133" s="3" t="s">
        <v>15</v>
      </c>
      <c r="C133" s="3" t="s">
        <v>16</v>
      </c>
      <c r="D133" s="3" t="s">
        <v>35</v>
      </c>
      <c r="E133" s="3" t="s">
        <v>225</v>
      </c>
      <c r="F133" s="3" t="s">
        <v>197</v>
      </c>
      <c r="G133" s="3" t="s">
        <v>41</v>
      </c>
      <c r="H133" s="3" t="s">
        <v>37</v>
      </c>
      <c r="I133" s="3"/>
      <c r="J133" s="4"/>
      <c r="K133" s="3"/>
      <c r="L133" s="3" t="s">
        <v>49</v>
      </c>
      <c r="M133" s="3" t="s">
        <v>199</v>
      </c>
      <c r="N133" s="3" t="s">
        <v>50</v>
      </c>
    </row>
    <row r="134" customFormat="false" ht="15" hidden="false" customHeight="true" outlineLevel="0" collapsed="false">
      <c r="A134" s="3" t="s">
        <v>300</v>
      </c>
      <c r="B134" s="3" t="s">
        <v>15</v>
      </c>
      <c r="C134" s="3" t="s">
        <v>16</v>
      </c>
      <c r="D134" s="3" t="s">
        <v>35</v>
      </c>
      <c r="E134" s="3" t="s">
        <v>207</v>
      </c>
      <c r="F134" s="3" t="s">
        <v>179</v>
      </c>
      <c r="G134" s="3" t="s">
        <v>41</v>
      </c>
      <c r="H134" s="3" t="s">
        <v>37</v>
      </c>
      <c r="I134" s="3"/>
      <c r="J134" s="4"/>
      <c r="K134" s="3" t="s">
        <v>301</v>
      </c>
      <c r="L134" s="3" t="s">
        <v>22</v>
      </c>
      <c r="M134" s="3" t="s">
        <v>180</v>
      </c>
      <c r="N134" s="3" t="s">
        <v>50</v>
      </c>
    </row>
    <row r="135" customFormat="false" ht="15" hidden="false" customHeight="true" outlineLevel="0" collapsed="false">
      <c r="A135" s="3" t="s">
        <v>302</v>
      </c>
      <c r="B135" s="3" t="s">
        <v>15</v>
      </c>
      <c r="C135" s="3" t="s">
        <v>16</v>
      </c>
      <c r="D135" s="3" t="s">
        <v>35</v>
      </c>
      <c r="E135" s="3" t="s">
        <v>207</v>
      </c>
      <c r="F135" s="3" t="s">
        <v>179</v>
      </c>
      <c r="G135" s="3" t="s">
        <v>41</v>
      </c>
      <c r="H135" s="3" t="s">
        <v>37</v>
      </c>
      <c r="I135" s="3"/>
      <c r="J135" s="4"/>
      <c r="K135" s="3" t="s">
        <v>303</v>
      </c>
      <c r="L135" s="3" t="s">
        <v>22</v>
      </c>
      <c r="M135" s="3" t="s">
        <v>180</v>
      </c>
      <c r="N135" s="3" t="s">
        <v>50</v>
      </c>
    </row>
    <row r="136" customFormat="false" ht="15" hidden="false" customHeight="true" outlineLevel="0" collapsed="false">
      <c r="A136" s="3" t="s">
        <v>304</v>
      </c>
      <c r="B136" s="3" t="s">
        <v>15</v>
      </c>
      <c r="C136" s="3" t="s">
        <v>16</v>
      </c>
      <c r="D136" s="3" t="s">
        <v>35</v>
      </c>
      <c r="E136" s="3" t="s">
        <v>166</v>
      </c>
      <c r="F136" s="3" t="s">
        <v>210</v>
      </c>
      <c r="G136" s="3" t="s">
        <v>41</v>
      </c>
      <c r="H136" s="3" t="s">
        <v>37</v>
      </c>
      <c r="I136" s="3"/>
      <c r="J136" s="4"/>
      <c r="K136" s="3" t="s">
        <v>305</v>
      </c>
      <c r="L136" s="3" t="s">
        <v>22</v>
      </c>
      <c r="M136" s="3" t="s">
        <v>169</v>
      </c>
      <c r="N136" s="3"/>
    </row>
    <row r="137" customFormat="false" ht="15" hidden="false" customHeight="true" outlineLevel="0" collapsed="false">
      <c r="A137" s="3" t="s">
        <v>306</v>
      </c>
      <c r="B137" s="3" t="s">
        <v>15</v>
      </c>
      <c r="C137" s="3" t="s">
        <v>16</v>
      </c>
      <c r="D137" s="3" t="s">
        <v>35</v>
      </c>
      <c r="E137" s="3" t="s">
        <v>166</v>
      </c>
      <c r="F137" s="3" t="s">
        <v>210</v>
      </c>
      <c r="G137" s="3" t="s">
        <v>41</v>
      </c>
      <c r="H137" s="3" t="s">
        <v>37</v>
      </c>
      <c r="I137" s="3"/>
      <c r="J137" s="4"/>
      <c r="K137" s="3" t="s">
        <v>307</v>
      </c>
      <c r="L137" s="3" t="s">
        <v>22</v>
      </c>
      <c r="M137" s="3" t="s">
        <v>169</v>
      </c>
      <c r="N137" s="3"/>
    </row>
    <row r="138" customFormat="false" ht="15" hidden="false" customHeight="true" outlineLevel="0" collapsed="false">
      <c r="A138" s="3" t="s">
        <v>308</v>
      </c>
      <c r="B138" s="3" t="s">
        <v>15</v>
      </c>
      <c r="C138" s="3" t="s">
        <v>16</v>
      </c>
      <c r="D138" s="3" t="s">
        <v>35</v>
      </c>
      <c r="E138" s="3" t="s">
        <v>204</v>
      </c>
      <c r="F138" s="3" t="s">
        <v>179</v>
      </c>
      <c r="G138" s="3" t="s">
        <v>41</v>
      </c>
      <c r="H138" s="3" t="s">
        <v>37</v>
      </c>
      <c r="I138" s="3"/>
      <c r="J138" s="4"/>
      <c r="K138" s="3"/>
      <c r="L138" s="3" t="s">
        <v>49</v>
      </c>
      <c r="M138" s="3" t="s">
        <v>180</v>
      </c>
      <c r="N138" s="3" t="s">
        <v>50</v>
      </c>
    </row>
    <row r="139" customFormat="false" ht="15" hidden="false" customHeight="true" outlineLevel="0" collapsed="false">
      <c r="A139" s="3" t="s">
        <v>309</v>
      </c>
      <c r="B139" s="3" t="s">
        <v>15</v>
      </c>
      <c r="C139" s="3" t="s">
        <v>16</v>
      </c>
      <c r="D139" s="3" t="s">
        <v>35</v>
      </c>
      <c r="E139" s="3" t="s">
        <v>204</v>
      </c>
      <c r="F139" s="3" t="s">
        <v>197</v>
      </c>
      <c r="G139" s="3" t="s">
        <v>41</v>
      </c>
      <c r="H139" s="3" t="s">
        <v>37</v>
      </c>
      <c r="I139" s="3"/>
      <c r="J139" s="4"/>
      <c r="K139" s="3" t="s">
        <v>310</v>
      </c>
      <c r="L139" s="3" t="s">
        <v>22</v>
      </c>
      <c r="M139" s="3" t="s">
        <v>235</v>
      </c>
      <c r="N139" s="3" t="s">
        <v>50</v>
      </c>
    </row>
    <row r="140" customFormat="false" ht="15" hidden="false" customHeight="true" outlineLevel="0" collapsed="false">
      <c r="A140" s="3" t="s">
        <v>311</v>
      </c>
      <c r="B140" s="3" t="s">
        <v>15</v>
      </c>
      <c r="C140" s="3" t="s">
        <v>16</v>
      </c>
      <c r="D140" s="3" t="s">
        <v>35</v>
      </c>
      <c r="E140" s="3" t="s">
        <v>178</v>
      </c>
      <c r="F140" s="3" t="s">
        <v>197</v>
      </c>
      <c r="G140" s="3" t="s">
        <v>41</v>
      </c>
      <c r="H140" s="3" t="s">
        <v>37</v>
      </c>
      <c r="I140" s="3"/>
      <c r="J140" s="4"/>
      <c r="K140" s="3"/>
      <c r="L140" s="3" t="s">
        <v>49</v>
      </c>
      <c r="M140" s="3" t="s">
        <v>235</v>
      </c>
      <c r="N140" s="3" t="s">
        <v>50</v>
      </c>
    </row>
    <row r="141" customFormat="false" ht="15" hidden="false" customHeight="true" outlineLevel="0" collapsed="false">
      <c r="A141" s="3" t="s">
        <v>312</v>
      </c>
      <c r="B141" s="3" t="s">
        <v>15</v>
      </c>
      <c r="C141" s="3" t="s">
        <v>16</v>
      </c>
      <c r="D141" s="3" t="s">
        <v>35</v>
      </c>
      <c r="E141" s="3" t="s">
        <v>201</v>
      </c>
      <c r="F141" s="3" t="s">
        <v>197</v>
      </c>
      <c r="G141" s="3" t="s">
        <v>41</v>
      </c>
      <c r="H141" s="3" t="s">
        <v>37</v>
      </c>
      <c r="I141" s="3"/>
      <c r="J141" s="4"/>
      <c r="K141" s="3"/>
      <c r="L141" s="3" t="s">
        <v>49</v>
      </c>
      <c r="M141" s="3" t="s">
        <v>199</v>
      </c>
      <c r="N141" s="3" t="s">
        <v>50</v>
      </c>
    </row>
    <row r="142" customFormat="false" ht="15" hidden="false" customHeight="true" outlineLevel="0" collapsed="false">
      <c r="A142" s="3" t="s">
        <v>313</v>
      </c>
      <c r="B142" s="3" t="s">
        <v>15</v>
      </c>
      <c r="C142" s="3" t="s">
        <v>16</v>
      </c>
      <c r="D142" s="3" t="s">
        <v>35</v>
      </c>
      <c r="E142" s="3" t="s">
        <v>191</v>
      </c>
      <c r="F142" s="3" t="s">
        <v>75</v>
      </c>
      <c r="G142" s="3" t="s">
        <v>41</v>
      </c>
      <c r="H142" s="3" t="s">
        <v>37</v>
      </c>
      <c r="I142" s="3"/>
      <c r="J142" s="4"/>
      <c r="K142" s="3"/>
      <c r="L142" s="3" t="s">
        <v>49</v>
      </c>
      <c r="M142" s="3" t="s">
        <v>193</v>
      </c>
      <c r="N142" s="3"/>
    </row>
    <row r="143" customFormat="false" ht="15" hidden="false" customHeight="true" outlineLevel="0" collapsed="false">
      <c r="A143" s="3" t="s">
        <v>314</v>
      </c>
      <c r="B143" s="3" t="s">
        <v>15</v>
      </c>
      <c r="C143" s="3" t="s">
        <v>16</v>
      </c>
      <c r="D143" s="3" t="s">
        <v>35</v>
      </c>
      <c r="E143" s="3" t="s">
        <v>195</v>
      </c>
      <c r="F143" s="3" t="s">
        <v>179</v>
      </c>
      <c r="G143" s="3" t="s">
        <v>41</v>
      </c>
      <c r="H143" s="3" t="s">
        <v>37</v>
      </c>
      <c r="I143" s="3"/>
      <c r="J143" s="4"/>
      <c r="K143" s="3" t="s">
        <v>315</v>
      </c>
      <c r="L143" s="3" t="s">
        <v>22</v>
      </c>
      <c r="M143" s="3" t="s">
        <v>180</v>
      </c>
      <c r="N143" s="3"/>
    </row>
    <row r="144" customFormat="false" ht="15" hidden="false" customHeight="true" outlineLevel="0" collapsed="false">
      <c r="A144" s="3" t="s">
        <v>316</v>
      </c>
      <c r="B144" s="3" t="s">
        <v>15</v>
      </c>
      <c r="C144" s="3" t="s">
        <v>16</v>
      </c>
      <c r="D144" s="3" t="s">
        <v>35</v>
      </c>
      <c r="E144" s="3" t="s">
        <v>207</v>
      </c>
      <c r="F144" s="3" t="s">
        <v>197</v>
      </c>
      <c r="G144" s="3" t="s">
        <v>41</v>
      </c>
      <c r="H144" s="3" t="s">
        <v>37</v>
      </c>
      <c r="I144" s="3"/>
      <c r="J144" s="4"/>
      <c r="K144" s="3"/>
      <c r="L144" s="3" t="s">
        <v>49</v>
      </c>
      <c r="M144" s="3" t="s">
        <v>235</v>
      </c>
      <c r="N144" s="3" t="s">
        <v>50</v>
      </c>
    </row>
    <row r="145" customFormat="false" ht="15" hidden="false" customHeight="true" outlineLevel="0" collapsed="false">
      <c r="A145" s="3" t="s">
        <v>317</v>
      </c>
      <c r="B145" s="3" t="s">
        <v>15</v>
      </c>
      <c r="C145" s="3" t="s">
        <v>16</v>
      </c>
      <c r="D145" s="3" t="s">
        <v>35</v>
      </c>
      <c r="E145" s="3" t="s">
        <v>274</v>
      </c>
      <c r="F145" s="3" t="s">
        <v>197</v>
      </c>
      <c r="G145" s="3" t="s">
        <v>41</v>
      </c>
      <c r="H145" s="3" t="s">
        <v>37</v>
      </c>
      <c r="I145" s="3"/>
      <c r="J145" s="4"/>
      <c r="K145" s="3" t="s">
        <v>318</v>
      </c>
      <c r="L145" s="3" t="s">
        <v>22</v>
      </c>
      <c r="M145" s="3" t="s">
        <v>235</v>
      </c>
      <c r="N145" s="3" t="s">
        <v>50</v>
      </c>
    </row>
    <row r="146" customFormat="false" ht="15" hidden="false" customHeight="true" outlineLevel="0" collapsed="false">
      <c r="A146" s="3" t="s">
        <v>319</v>
      </c>
      <c r="B146" s="3" t="s">
        <v>15</v>
      </c>
      <c r="C146" s="3" t="s">
        <v>16</v>
      </c>
      <c r="D146" s="3" t="s">
        <v>35</v>
      </c>
      <c r="E146" s="3" t="s">
        <v>274</v>
      </c>
      <c r="F146" s="3" t="s">
        <v>197</v>
      </c>
      <c r="G146" s="3" t="s">
        <v>41</v>
      </c>
      <c r="H146" s="3" t="s">
        <v>37</v>
      </c>
      <c r="I146" s="3"/>
      <c r="J146" s="4"/>
      <c r="K146" s="3" t="s">
        <v>320</v>
      </c>
      <c r="L146" s="3" t="s">
        <v>22</v>
      </c>
      <c r="M146" s="3" t="s">
        <v>199</v>
      </c>
      <c r="N146" s="3" t="s">
        <v>50</v>
      </c>
    </row>
    <row r="147" customFormat="false" ht="15" hidden="false" customHeight="true" outlineLevel="0" collapsed="false">
      <c r="A147" s="3" t="s">
        <v>321</v>
      </c>
      <c r="B147" s="3" t="s">
        <v>15</v>
      </c>
      <c r="C147" s="3" t="s">
        <v>16</v>
      </c>
      <c r="D147" s="3" t="s">
        <v>35</v>
      </c>
      <c r="E147" s="3" t="s">
        <v>274</v>
      </c>
      <c r="F147" s="3" t="s">
        <v>197</v>
      </c>
      <c r="G147" s="3" t="s">
        <v>41</v>
      </c>
      <c r="H147" s="3" t="s">
        <v>37</v>
      </c>
      <c r="I147" s="3"/>
      <c r="J147" s="4"/>
      <c r="K147" s="3"/>
      <c r="L147" s="3" t="s">
        <v>49</v>
      </c>
      <c r="M147" s="3" t="s">
        <v>199</v>
      </c>
      <c r="N147" s="3" t="s">
        <v>50</v>
      </c>
    </row>
    <row r="148" customFormat="false" ht="15" hidden="false" customHeight="true" outlineLevel="0" collapsed="false">
      <c r="A148" s="3" t="s">
        <v>322</v>
      </c>
      <c r="B148" s="3" t="s">
        <v>15</v>
      </c>
      <c r="C148" s="3" t="s">
        <v>16</v>
      </c>
      <c r="D148" s="3" t="s">
        <v>35</v>
      </c>
      <c r="E148" s="3" t="s">
        <v>201</v>
      </c>
      <c r="F148" s="3" t="s">
        <v>197</v>
      </c>
      <c r="G148" s="3" t="s">
        <v>41</v>
      </c>
      <c r="H148" s="3" t="s">
        <v>37</v>
      </c>
      <c r="I148" s="3"/>
      <c r="J148" s="4"/>
      <c r="K148" s="3"/>
      <c r="L148" s="3" t="s">
        <v>49</v>
      </c>
      <c r="M148" s="3" t="s">
        <v>235</v>
      </c>
      <c r="N148" s="3" t="s">
        <v>50</v>
      </c>
    </row>
    <row r="149" customFormat="false" ht="15" hidden="false" customHeight="true" outlineLevel="0" collapsed="false">
      <c r="A149" s="3" t="s">
        <v>323</v>
      </c>
      <c r="B149" s="3" t="s">
        <v>15</v>
      </c>
      <c r="C149" s="3" t="s">
        <v>16</v>
      </c>
      <c r="D149" s="3" t="s">
        <v>35</v>
      </c>
      <c r="E149" s="3" t="s">
        <v>274</v>
      </c>
      <c r="F149" s="3" t="s">
        <v>197</v>
      </c>
      <c r="G149" s="3" t="s">
        <v>41</v>
      </c>
      <c r="H149" s="3" t="s">
        <v>37</v>
      </c>
      <c r="I149" s="3"/>
      <c r="J149" s="4"/>
      <c r="K149" s="3"/>
      <c r="L149" s="3" t="s">
        <v>49</v>
      </c>
      <c r="M149" s="3" t="s">
        <v>199</v>
      </c>
      <c r="N149" s="3" t="s">
        <v>50</v>
      </c>
    </row>
    <row r="150" customFormat="false" ht="15" hidden="false" customHeight="true" outlineLevel="0" collapsed="false">
      <c r="A150" s="3" t="s">
        <v>324</v>
      </c>
      <c r="B150" s="3" t="s">
        <v>15</v>
      </c>
      <c r="C150" s="3" t="s">
        <v>16</v>
      </c>
      <c r="D150" s="3" t="s">
        <v>35</v>
      </c>
      <c r="E150" s="3" t="s">
        <v>274</v>
      </c>
      <c r="F150" s="3" t="s">
        <v>197</v>
      </c>
      <c r="G150" s="3" t="s">
        <v>41</v>
      </c>
      <c r="H150" s="3" t="s">
        <v>37</v>
      </c>
      <c r="I150" s="3"/>
      <c r="J150" s="4"/>
      <c r="K150" s="3" t="s">
        <v>325</v>
      </c>
      <c r="L150" s="3" t="s">
        <v>22</v>
      </c>
      <c r="M150" s="3" t="s">
        <v>199</v>
      </c>
      <c r="N150" s="3" t="s">
        <v>50</v>
      </c>
    </row>
    <row r="151" customFormat="false" ht="15" hidden="false" customHeight="true" outlineLevel="0" collapsed="false">
      <c r="A151" s="3" t="s">
        <v>326</v>
      </c>
      <c r="B151" s="3" t="s">
        <v>15</v>
      </c>
      <c r="C151" s="3" t="s">
        <v>16</v>
      </c>
      <c r="D151" s="3" t="s">
        <v>35</v>
      </c>
      <c r="E151" s="3" t="s">
        <v>274</v>
      </c>
      <c r="F151" s="3" t="s">
        <v>197</v>
      </c>
      <c r="G151" s="3" t="s">
        <v>41</v>
      </c>
      <c r="H151" s="3" t="s">
        <v>37</v>
      </c>
      <c r="I151" s="3"/>
      <c r="J151" s="4"/>
      <c r="K151" s="3" t="s">
        <v>327</v>
      </c>
      <c r="L151" s="3" t="s">
        <v>22</v>
      </c>
      <c r="M151" s="3" t="s">
        <v>199</v>
      </c>
      <c r="N151" s="3" t="s">
        <v>50</v>
      </c>
    </row>
    <row r="152" customFormat="false" ht="15" hidden="false" customHeight="true" outlineLevel="0" collapsed="false">
      <c r="A152" s="3" t="s">
        <v>328</v>
      </c>
      <c r="B152" s="3" t="s">
        <v>15</v>
      </c>
      <c r="C152" s="3" t="s">
        <v>16</v>
      </c>
      <c r="D152" s="3" t="s">
        <v>35</v>
      </c>
      <c r="E152" s="3" t="s">
        <v>274</v>
      </c>
      <c r="F152" s="3" t="s">
        <v>197</v>
      </c>
      <c r="G152" s="3" t="s">
        <v>41</v>
      </c>
      <c r="H152" s="3" t="s">
        <v>37</v>
      </c>
      <c r="I152" s="3"/>
      <c r="J152" s="4"/>
      <c r="K152" s="3" t="s">
        <v>329</v>
      </c>
      <c r="L152" s="3" t="s">
        <v>22</v>
      </c>
      <c r="M152" s="3" t="s">
        <v>199</v>
      </c>
      <c r="N152" s="3" t="s">
        <v>50</v>
      </c>
    </row>
    <row r="153" customFormat="false" ht="15" hidden="false" customHeight="true" outlineLevel="0" collapsed="false">
      <c r="A153" s="3" t="s">
        <v>330</v>
      </c>
      <c r="B153" s="3" t="s">
        <v>15</v>
      </c>
      <c r="C153" s="3" t="s">
        <v>16</v>
      </c>
      <c r="D153" s="3" t="s">
        <v>35</v>
      </c>
      <c r="E153" s="3" t="s">
        <v>274</v>
      </c>
      <c r="F153" s="3" t="s">
        <v>197</v>
      </c>
      <c r="G153" s="3" t="s">
        <v>41</v>
      </c>
      <c r="H153" s="3" t="s">
        <v>37</v>
      </c>
      <c r="I153" s="3"/>
      <c r="J153" s="4"/>
      <c r="K153" s="3" t="s">
        <v>331</v>
      </c>
      <c r="L153" s="3" t="s">
        <v>22</v>
      </c>
      <c r="M153" s="3" t="s">
        <v>199</v>
      </c>
      <c r="N153" s="3" t="s">
        <v>50</v>
      </c>
    </row>
    <row r="154" customFormat="false" ht="15" hidden="false" customHeight="true" outlineLevel="0" collapsed="false">
      <c r="A154" s="3" t="s">
        <v>332</v>
      </c>
      <c r="B154" s="3" t="s">
        <v>15</v>
      </c>
      <c r="C154" s="3" t="s">
        <v>16</v>
      </c>
      <c r="D154" s="3" t="s">
        <v>35</v>
      </c>
      <c r="E154" s="3" t="s">
        <v>274</v>
      </c>
      <c r="F154" s="3" t="s">
        <v>197</v>
      </c>
      <c r="G154" s="3" t="s">
        <v>41</v>
      </c>
      <c r="H154" s="3" t="s">
        <v>37</v>
      </c>
      <c r="I154" s="3"/>
      <c r="J154" s="4"/>
      <c r="K154" s="3"/>
      <c r="L154" s="3" t="s">
        <v>49</v>
      </c>
      <c r="M154" s="3" t="s">
        <v>235</v>
      </c>
      <c r="N154" s="3" t="s">
        <v>50</v>
      </c>
    </row>
    <row r="155" customFormat="false" ht="15" hidden="false" customHeight="true" outlineLevel="0" collapsed="false">
      <c r="A155" s="3" t="s">
        <v>333</v>
      </c>
      <c r="B155" s="3" t="s">
        <v>15</v>
      </c>
      <c r="C155" s="3" t="s">
        <v>16</v>
      </c>
      <c r="D155" s="3" t="s">
        <v>35</v>
      </c>
      <c r="E155" s="3" t="s">
        <v>274</v>
      </c>
      <c r="F155" s="3" t="s">
        <v>197</v>
      </c>
      <c r="G155" s="3" t="s">
        <v>41</v>
      </c>
      <c r="H155" s="3" t="s">
        <v>37</v>
      </c>
      <c r="I155" s="3"/>
      <c r="J155" s="4"/>
      <c r="K155" s="3" t="s">
        <v>334</v>
      </c>
      <c r="L155" s="3" t="s">
        <v>22</v>
      </c>
      <c r="M155" s="3" t="s">
        <v>199</v>
      </c>
      <c r="N155" s="3" t="s">
        <v>50</v>
      </c>
    </row>
    <row r="156" customFormat="false" ht="15" hidden="false" customHeight="true" outlineLevel="0" collapsed="false">
      <c r="A156" s="3" t="s">
        <v>335</v>
      </c>
      <c r="B156" s="3" t="s">
        <v>15</v>
      </c>
      <c r="C156" s="3" t="s">
        <v>16</v>
      </c>
      <c r="D156" s="3" t="s">
        <v>35</v>
      </c>
      <c r="E156" s="3" t="s">
        <v>274</v>
      </c>
      <c r="F156" s="3" t="s">
        <v>197</v>
      </c>
      <c r="G156" s="3" t="s">
        <v>41</v>
      </c>
      <c r="H156" s="3" t="s">
        <v>37</v>
      </c>
      <c r="I156" s="3"/>
      <c r="J156" s="4"/>
      <c r="K156" s="3"/>
      <c r="L156" s="3" t="s">
        <v>49</v>
      </c>
      <c r="M156" s="3" t="s">
        <v>235</v>
      </c>
      <c r="N156" s="3" t="s">
        <v>50</v>
      </c>
    </row>
    <row r="157" customFormat="false" ht="15" hidden="false" customHeight="true" outlineLevel="0" collapsed="false">
      <c r="A157" s="3" t="s">
        <v>336</v>
      </c>
      <c r="B157" s="3" t="s">
        <v>15</v>
      </c>
      <c r="C157" s="3" t="s">
        <v>16</v>
      </c>
      <c r="D157" s="3" t="s">
        <v>35</v>
      </c>
      <c r="E157" s="3" t="s">
        <v>166</v>
      </c>
      <c r="F157" s="3" t="s">
        <v>210</v>
      </c>
      <c r="G157" s="3" t="s">
        <v>41</v>
      </c>
      <c r="H157" s="3" t="s">
        <v>37</v>
      </c>
      <c r="I157" s="3"/>
      <c r="J157" s="4"/>
      <c r="K157" s="3"/>
      <c r="L157" s="3" t="s">
        <v>49</v>
      </c>
      <c r="M157" s="3" t="s">
        <v>169</v>
      </c>
      <c r="N157" s="3"/>
    </row>
    <row r="158" customFormat="false" ht="15" hidden="false" customHeight="true" outlineLevel="0" collapsed="false">
      <c r="A158" s="3" t="s">
        <v>337</v>
      </c>
      <c r="B158" s="3" t="s">
        <v>15</v>
      </c>
      <c r="C158" s="3" t="s">
        <v>16</v>
      </c>
      <c r="D158" s="3" t="s">
        <v>35</v>
      </c>
      <c r="E158" s="3" t="s">
        <v>166</v>
      </c>
      <c r="F158" s="3" t="s">
        <v>210</v>
      </c>
      <c r="G158" s="3" t="s">
        <v>41</v>
      </c>
      <c r="H158" s="3" t="s">
        <v>37</v>
      </c>
      <c r="I158" s="3"/>
      <c r="J158" s="4"/>
      <c r="K158" s="3" t="s">
        <v>338</v>
      </c>
      <c r="L158" s="3" t="s">
        <v>22</v>
      </c>
      <c r="M158" s="3" t="s">
        <v>169</v>
      </c>
      <c r="N158" s="3"/>
    </row>
    <row r="159" customFormat="false" ht="15" hidden="false" customHeight="true" outlineLevel="0" collapsed="false">
      <c r="A159" s="3" t="s">
        <v>339</v>
      </c>
      <c r="B159" s="3" t="s">
        <v>15</v>
      </c>
      <c r="C159" s="3" t="s">
        <v>16</v>
      </c>
      <c r="D159" s="3" t="s">
        <v>35</v>
      </c>
      <c r="E159" s="3" t="s">
        <v>36</v>
      </c>
      <c r="F159" s="3" t="s">
        <v>37</v>
      </c>
      <c r="G159" s="3" t="s">
        <v>41</v>
      </c>
      <c r="H159" s="3" t="s">
        <v>37</v>
      </c>
      <c r="I159" s="3"/>
      <c r="J159" s="4"/>
      <c r="K159" s="3" t="s">
        <v>340</v>
      </c>
      <c r="L159" s="3" t="s">
        <v>22</v>
      </c>
      <c r="M159" s="3" t="s">
        <v>176</v>
      </c>
      <c r="N159" s="3"/>
    </row>
    <row r="160" customFormat="false" ht="15" hidden="false" customHeight="true" outlineLevel="0" collapsed="false">
      <c r="A160" s="3" t="s">
        <v>341</v>
      </c>
      <c r="B160" s="3" t="s">
        <v>15</v>
      </c>
      <c r="C160" s="3" t="s">
        <v>16</v>
      </c>
      <c r="D160" s="3" t="s">
        <v>35</v>
      </c>
      <c r="E160" s="3" t="s">
        <v>191</v>
      </c>
      <c r="F160" s="3" t="s">
        <v>75</v>
      </c>
      <c r="G160" s="3" t="s">
        <v>41</v>
      </c>
      <c r="H160" s="3" t="s">
        <v>37</v>
      </c>
      <c r="I160" s="3"/>
      <c r="J160" s="4"/>
      <c r="K160" s="3" t="s">
        <v>342</v>
      </c>
      <c r="L160" s="3" t="s">
        <v>22</v>
      </c>
      <c r="M160" s="3" t="s">
        <v>193</v>
      </c>
      <c r="N160" s="3"/>
    </row>
    <row r="161" customFormat="false" ht="15" hidden="false" customHeight="true" outlineLevel="0" collapsed="false">
      <c r="A161" s="3" t="s">
        <v>343</v>
      </c>
      <c r="B161" s="3" t="s">
        <v>15</v>
      </c>
      <c r="C161" s="3" t="s">
        <v>16</v>
      </c>
      <c r="D161" s="3" t="s">
        <v>35</v>
      </c>
      <c r="E161" s="3" t="s">
        <v>191</v>
      </c>
      <c r="F161" s="3" t="s">
        <v>75</v>
      </c>
      <c r="G161" s="3" t="s">
        <v>41</v>
      </c>
      <c r="H161" s="3" t="s">
        <v>37</v>
      </c>
      <c r="I161" s="3"/>
      <c r="J161" s="4"/>
      <c r="K161" s="3" t="s">
        <v>344</v>
      </c>
      <c r="L161" s="3" t="s">
        <v>22</v>
      </c>
      <c r="M161" s="3" t="s">
        <v>193</v>
      </c>
      <c r="N161" s="3"/>
    </row>
    <row r="162" customFormat="false" ht="15" hidden="false" customHeight="true" outlineLevel="0" collapsed="false">
      <c r="A162" s="3" t="s">
        <v>345</v>
      </c>
      <c r="B162" s="3" t="s">
        <v>15</v>
      </c>
      <c r="C162" s="3" t="s">
        <v>16</v>
      </c>
      <c r="D162" s="3" t="s">
        <v>35</v>
      </c>
      <c r="E162" s="3" t="s">
        <v>346</v>
      </c>
      <c r="F162" s="3" t="s">
        <v>37</v>
      </c>
      <c r="G162" s="3" t="s">
        <v>41</v>
      </c>
      <c r="H162" s="3" t="s">
        <v>37</v>
      </c>
      <c r="I162" s="3"/>
      <c r="J162" s="4"/>
      <c r="K162" s="3" t="s">
        <v>347</v>
      </c>
      <c r="L162" s="3" t="s">
        <v>22</v>
      </c>
      <c r="M162" s="3" t="s">
        <v>348</v>
      </c>
      <c r="N162" s="3"/>
    </row>
    <row r="163" customFormat="false" ht="15" hidden="false" customHeight="true" outlineLevel="0" collapsed="false">
      <c r="A163" s="3" t="s">
        <v>349</v>
      </c>
      <c r="B163" s="3" t="s">
        <v>15</v>
      </c>
      <c r="C163" s="3" t="s">
        <v>16</v>
      </c>
      <c r="D163" s="3" t="s">
        <v>35</v>
      </c>
      <c r="E163" s="3" t="s">
        <v>207</v>
      </c>
      <c r="F163" s="3" t="s">
        <v>179</v>
      </c>
      <c r="G163" s="3" t="s">
        <v>41</v>
      </c>
      <c r="H163" s="3" t="s">
        <v>37</v>
      </c>
      <c r="I163" s="3"/>
      <c r="J163" s="4"/>
      <c r="K163" s="3"/>
      <c r="L163" s="3" t="s">
        <v>49</v>
      </c>
      <c r="M163" s="3" t="s">
        <v>180</v>
      </c>
      <c r="N163" s="3" t="s">
        <v>50</v>
      </c>
    </row>
    <row r="164" customFormat="false" ht="15" hidden="false" customHeight="true" outlineLevel="0" collapsed="false">
      <c r="A164" s="3" t="s">
        <v>350</v>
      </c>
      <c r="B164" s="3" t="s">
        <v>15</v>
      </c>
      <c r="C164" s="3" t="s">
        <v>16</v>
      </c>
      <c r="D164" s="3" t="s">
        <v>35</v>
      </c>
      <c r="E164" s="3" t="s">
        <v>189</v>
      </c>
      <c r="F164" s="3" t="s">
        <v>37</v>
      </c>
      <c r="G164" s="3" t="s">
        <v>41</v>
      </c>
      <c r="H164" s="3" t="s">
        <v>37</v>
      </c>
      <c r="I164" s="3"/>
      <c r="J164" s="4"/>
      <c r="K164" s="3" t="s">
        <v>351</v>
      </c>
      <c r="L164" s="3" t="s">
        <v>22</v>
      </c>
      <c r="M164" s="3" t="s">
        <v>176</v>
      </c>
      <c r="N164" s="3"/>
    </row>
    <row r="165" customFormat="false" ht="15" hidden="false" customHeight="true" outlineLevel="0" collapsed="false">
      <c r="A165" s="3" t="s">
        <v>352</v>
      </c>
      <c r="B165" s="3" t="s">
        <v>15</v>
      </c>
      <c r="C165" s="3" t="s">
        <v>16</v>
      </c>
      <c r="D165" s="3" t="s">
        <v>35</v>
      </c>
      <c r="E165" s="3" t="s">
        <v>346</v>
      </c>
      <c r="F165" s="3" t="s">
        <v>37</v>
      </c>
      <c r="G165" s="3" t="s">
        <v>41</v>
      </c>
      <c r="H165" s="3" t="s">
        <v>37</v>
      </c>
      <c r="I165" s="3"/>
      <c r="J165" s="4"/>
      <c r="K165" s="3" t="s">
        <v>353</v>
      </c>
      <c r="L165" s="3" t="s">
        <v>22</v>
      </c>
      <c r="M165" s="3" t="s">
        <v>176</v>
      </c>
      <c r="N165" s="3"/>
    </row>
    <row r="166" customFormat="false" ht="15" hidden="false" customHeight="true" outlineLevel="0" collapsed="false">
      <c r="A166" s="3" t="s">
        <v>354</v>
      </c>
      <c r="B166" s="3" t="s">
        <v>15</v>
      </c>
      <c r="C166" s="3" t="s">
        <v>16</v>
      </c>
      <c r="D166" s="3" t="s">
        <v>35</v>
      </c>
      <c r="E166" s="3" t="s">
        <v>207</v>
      </c>
      <c r="F166" s="3" t="s">
        <v>197</v>
      </c>
      <c r="G166" s="3" t="s">
        <v>41</v>
      </c>
      <c r="H166" s="3" t="s">
        <v>37</v>
      </c>
      <c r="I166" s="3"/>
      <c r="J166" s="4"/>
      <c r="K166" s="3" t="s">
        <v>355</v>
      </c>
      <c r="L166" s="3" t="s">
        <v>356</v>
      </c>
      <c r="M166" s="3" t="s">
        <v>235</v>
      </c>
      <c r="N166" s="3" t="s">
        <v>50</v>
      </c>
    </row>
    <row r="167" customFormat="false" ht="15" hidden="false" customHeight="true" outlineLevel="0" collapsed="false">
      <c r="A167" s="3" t="s">
        <v>357</v>
      </c>
      <c r="B167" s="3" t="s">
        <v>15</v>
      </c>
      <c r="C167" s="3" t="s">
        <v>16</v>
      </c>
      <c r="D167" s="3" t="s">
        <v>35</v>
      </c>
      <c r="E167" s="3" t="s">
        <v>36</v>
      </c>
      <c r="F167" s="3" t="s">
        <v>37</v>
      </c>
      <c r="G167" s="3" t="s">
        <v>41</v>
      </c>
      <c r="H167" s="3" t="s">
        <v>37</v>
      </c>
      <c r="I167" s="3"/>
      <c r="J167" s="4"/>
      <c r="K167" s="3" t="s">
        <v>358</v>
      </c>
      <c r="L167" s="3" t="s">
        <v>22</v>
      </c>
      <c r="M167" s="3" t="s">
        <v>176</v>
      </c>
      <c r="N167" s="3"/>
    </row>
    <row r="168" customFormat="false" ht="15" hidden="false" customHeight="true" outlineLevel="0" collapsed="false">
      <c r="A168" s="3" t="s">
        <v>359</v>
      </c>
      <c r="B168" s="3" t="s">
        <v>15</v>
      </c>
      <c r="C168" s="3" t="s">
        <v>16</v>
      </c>
      <c r="D168" s="3" t="s">
        <v>35</v>
      </c>
      <c r="E168" s="3" t="s">
        <v>189</v>
      </c>
      <c r="F168" s="3" t="s">
        <v>37</v>
      </c>
      <c r="G168" s="3" t="s">
        <v>41</v>
      </c>
      <c r="H168" s="3" t="s">
        <v>37</v>
      </c>
      <c r="I168" s="3"/>
      <c r="J168" s="4"/>
      <c r="K168" s="3" t="s">
        <v>360</v>
      </c>
      <c r="L168" s="3" t="s">
        <v>22</v>
      </c>
      <c r="M168" s="3" t="s">
        <v>176</v>
      </c>
      <c r="N168" s="3"/>
    </row>
    <row r="169" customFormat="false" ht="15" hidden="false" customHeight="true" outlineLevel="0" collapsed="false">
      <c r="A169" s="3" t="s">
        <v>361</v>
      </c>
      <c r="B169" s="3" t="s">
        <v>15</v>
      </c>
      <c r="C169" s="3" t="s">
        <v>16</v>
      </c>
      <c r="D169" s="3" t="s">
        <v>35</v>
      </c>
      <c r="E169" s="3" t="s">
        <v>195</v>
      </c>
      <c r="F169" s="3" t="s">
        <v>179</v>
      </c>
      <c r="G169" s="3" t="s">
        <v>41</v>
      </c>
      <c r="H169" s="3" t="s">
        <v>37</v>
      </c>
      <c r="I169" s="3"/>
      <c r="J169" s="4"/>
      <c r="K169" s="3" t="s">
        <v>362</v>
      </c>
      <c r="L169" s="3" t="s">
        <v>22</v>
      </c>
      <c r="M169" s="3" t="s">
        <v>180</v>
      </c>
      <c r="N169" s="3"/>
    </row>
    <row r="170" customFormat="false" ht="15" hidden="false" customHeight="true" outlineLevel="0" collapsed="false">
      <c r="A170" s="3" t="s">
        <v>363</v>
      </c>
      <c r="B170" s="3" t="s">
        <v>15</v>
      </c>
      <c r="C170" s="3" t="s">
        <v>16</v>
      </c>
      <c r="D170" s="3" t="s">
        <v>35</v>
      </c>
      <c r="E170" s="3" t="s">
        <v>191</v>
      </c>
      <c r="F170" s="3" t="s">
        <v>75</v>
      </c>
      <c r="G170" s="3" t="s">
        <v>41</v>
      </c>
      <c r="H170" s="3" t="s">
        <v>37</v>
      </c>
      <c r="I170" s="3"/>
      <c r="J170" s="4"/>
      <c r="K170" s="3" t="s">
        <v>221</v>
      </c>
      <c r="L170" s="3" t="s">
        <v>22</v>
      </c>
      <c r="M170" s="3" t="s">
        <v>193</v>
      </c>
      <c r="N170" s="3"/>
    </row>
    <row r="171" customFormat="false" ht="15" hidden="false" customHeight="true" outlineLevel="0" collapsed="false">
      <c r="A171" s="3" t="s">
        <v>364</v>
      </c>
      <c r="B171" s="3" t="s">
        <v>15</v>
      </c>
      <c r="C171" s="3" t="s">
        <v>16</v>
      </c>
      <c r="D171" s="3" t="s">
        <v>35</v>
      </c>
      <c r="E171" s="3" t="s">
        <v>191</v>
      </c>
      <c r="F171" s="3" t="s">
        <v>75</v>
      </c>
      <c r="G171" s="3" t="s">
        <v>41</v>
      </c>
      <c r="H171" s="3" t="s">
        <v>37</v>
      </c>
      <c r="I171" s="3"/>
      <c r="J171" s="4"/>
      <c r="K171" s="3"/>
      <c r="L171" s="3" t="s">
        <v>49</v>
      </c>
      <c r="M171" s="3" t="s">
        <v>193</v>
      </c>
      <c r="N171" s="3"/>
    </row>
    <row r="172" customFormat="false" ht="15" hidden="false" customHeight="true" outlineLevel="0" collapsed="false">
      <c r="A172" s="3" t="s">
        <v>365</v>
      </c>
      <c r="B172" s="3" t="s">
        <v>15</v>
      </c>
      <c r="C172" s="3" t="s">
        <v>16</v>
      </c>
      <c r="D172" s="3" t="s">
        <v>35</v>
      </c>
      <c r="E172" s="3" t="s">
        <v>191</v>
      </c>
      <c r="F172" s="3" t="s">
        <v>75</v>
      </c>
      <c r="G172" s="3" t="s">
        <v>41</v>
      </c>
      <c r="H172" s="3" t="s">
        <v>37</v>
      </c>
      <c r="I172" s="3"/>
      <c r="J172" s="4"/>
      <c r="K172" s="3"/>
      <c r="L172" s="3" t="s">
        <v>49</v>
      </c>
      <c r="M172" s="3" t="s">
        <v>193</v>
      </c>
      <c r="N172" s="3"/>
    </row>
    <row r="173" customFormat="false" ht="15" hidden="false" customHeight="true" outlineLevel="0" collapsed="false">
      <c r="A173" s="3" t="s">
        <v>366</v>
      </c>
      <c r="B173" s="3" t="s">
        <v>15</v>
      </c>
      <c r="C173" s="3" t="s">
        <v>16</v>
      </c>
      <c r="D173" s="3" t="s">
        <v>35</v>
      </c>
      <c r="E173" s="3" t="s">
        <v>191</v>
      </c>
      <c r="F173" s="3" t="s">
        <v>75</v>
      </c>
      <c r="G173" s="3" t="s">
        <v>41</v>
      </c>
      <c r="H173" s="3" t="s">
        <v>37</v>
      </c>
      <c r="I173" s="3"/>
      <c r="J173" s="4"/>
      <c r="K173" s="3" t="s">
        <v>367</v>
      </c>
      <c r="L173" s="3" t="s">
        <v>22</v>
      </c>
      <c r="M173" s="3" t="s">
        <v>193</v>
      </c>
      <c r="N173" s="3"/>
    </row>
    <row r="174" customFormat="false" ht="15" hidden="false" customHeight="true" outlineLevel="0" collapsed="false">
      <c r="A174" s="3" t="s">
        <v>368</v>
      </c>
      <c r="B174" s="3" t="s">
        <v>15</v>
      </c>
      <c r="C174" s="3" t="s">
        <v>16</v>
      </c>
      <c r="D174" s="3" t="s">
        <v>35</v>
      </c>
      <c r="E174" s="3" t="s">
        <v>178</v>
      </c>
      <c r="F174" s="3" t="s">
        <v>369</v>
      </c>
      <c r="G174" s="3" t="s">
        <v>41</v>
      </c>
      <c r="H174" s="3" t="s">
        <v>37</v>
      </c>
      <c r="I174" s="3"/>
      <c r="J174" s="4" t="n">
        <v>0</v>
      </c>
      <c r="K174" s="3" t="s">
        <v>370</v>
      </c>
      <c r="L174" s="3" t="s">
        <v>47</v>
      </c>
      <c r="M174" s="3" t="s">
        <v>84</v>
      </c>
      <c r="N174" s="3" t="s">
        <v>50</v>
      </c>
    </row>
    <row r="175" customFormat="false" ht="15" hidden="false" customHeight="true" outlineLevel="0" collapsed="false">
      <c r="A175" s="3" t="s">
        <v>371</v>
      </c>
      <c r="B175" s="3" t="s">
        <v>15</v>
      </c>
      <c r="C175" s="3" t="s">
        <v>16</v>
      </c>
      <c r="D175" s="3" t="s">
        <v>35</v>
      </c>
      <c r="E175" s="3" t="s">
        <v>36</v>
      </c>
      <c r="F175" s="3" t="s">
        <v>37</v>
      </c>
      <c r="G175" s="3" t="s">
        <v>41</v>
      </c>
      <c r="H175" s="3" t="s">
        <v>37</v>
      </c>
      <c r="I175" s="3"/>
      <c r="J175" s="4"/>
      <c r="K175" s="3" t="s">
        <v>372</v>
      </c>
      <c r="L175" s="3" t="s">
        <v>22</v>
      </c>
      <c r="M175" s="3" t="s">
        <v>176</v>
      </c>
      <c r="N175" s="3"/>
    </row>
    <row r="176" customFormat="false" ht="15" hidden="false" customHeight="true" outlineLevel="0" collapsed="false">
      <c r="A176" s="3" t="s">
        <v>373</v>
      </c>
      <c r="B176" s="3" t="s">
        <v>15</v>
      </c>
      <c r="C176" s="3" t="s">
        <v>16</v>
      </c>
      <c r="D176" s="3" t="s">
        <v>35</v>
      </c>
      <c r="E176" s="3" t="s">
        <v>207</v>
      </c>
      <c r="F176" s="3" t="s">
        <v>179</v>
      </c>
      <c r="G176" s="3" t="s">
        <v>41</v>
      </c>
      <c r="H176" s="3" t="s">
        <v>37</v>
      </c>
      <c r="I176" s="3"/>
      <c r="J176" s="4"/>
      <c r="K176" s="3" t="s">
        <v>374</v>
      </c>
      <c r="L176" s="3" t="s">
        <v>22</v>
      </c>
      <c r="M176" s="3" t="s">
        <v>180</v>
      </c>
      <c r="N176" s="3" t="s">
        <v>50</v>
      </c>
    </row>
    <row r="177" customFormat="false" ht="15" hidden="false" customHeight="true" outlineLevel="0" collapsed="false">
      <c r="A177" s="3" t="s">
        <v>375</v>
      </c>
      <c r="B177" s="3" t="s">
        <v>15</v>
      </c>
      <c r="C177" s="3" t="s">
        <v>16</v>
      </c>
      <c r="D177" s="3" t="s">
        <v>35</v>
      </c>
      <c r="E177" s="3" t="s">
        <v>207</v>
      </c>
      <c r="F177" s="3" t="s">
        <v>197</v>
      </c>
      <c r="G177" s="3" t="s">
        <v>41</v>
      </c>
      <c r="H177" s="3" t="s">
        <v>37</v>
      </c>
      <c r="I177" s="3"/>
      <c r="J177" s="4"/>
      <c r="K177" s="3"/>
      <c r="L177" s="3" t="s">
        <v>49</v>
      </c>
      <c r="M177" s="3" t="s">
        <v>235</v>
      </c>
      <c r="N177" s="3" t="s">
        <v>50</v>
      </c>
    </row>
    <row r="178" customFormat="false" ht="15" hidden="false" customHeight="true" outlineLevel="0" collapsed="false">
      <c r="A178" s="3" t="s">
        <v>376</v>
      </c>
      <c r="B178" s="3" t="s">
        <v>15</v>
      </c>
      <c r="C178" s="3" t="s">
        <v>16</v>
      </c>
      <c r="D178" s="3" t="s">
        <v>35</v>
      </c>
      <c r="E178" s="3" t="s">
        <v>207</v>
      </c>
      <c r="F178" s="3" t="s">
        <v>179</v>
      </c>
      <c r="G178" s="3" t="s">
        <v>41</v>
      </c>
      <c r="H178" s="3" t="s">
        <v>37</v>
      </c>
      <c r="I178" s="3"/>
      <c r="J178" s="4" t="n">
        <v>0</v>
      </c>
      <c r="K178" s="3" t="s">
        <v>377</v>
      </c>
      <c r="L178" s="3" t="s">
        <v>245</v>
      </c>
      <c r="M178" s="3" t="s">
        <v>180</v>
      </c>
      <c r="N178" s="3" t="s">
        <v>50</v>
      </c>
    </row>
    <row r="179" customFormat="false" ht="15" hidden="false" customHeight="true" outlineLevel="0" collapsed="false">
      <c r="A179" s="3" t="s">
        <v>378</v>
      </c>
      <c r="B179" s="3" t="s">
        <v>15</v>
      </c>
      <c r="C179" s="3" t="s">
        <v>16</v>
      </c>
      <c r="D179" s="3" t="s">
        <v>35</v>
      </c>
      <c r="E179" s="3" t="s">
        <v>204</v>
      </c>
      <c r="F179" s="3" t="s">
        <v>179</v>
      </c>
      <c r="G179" s="3" t="s">
        <v>41</v>
      </c>
      <c r="H179" s="3" t="s">
        <v>37</v>
      </c>
      <c r="I179" s="3"/>
      <c r="J179" s="4"/>
      <c r="K179" s="3"/>
      <c r="L179" s="3" t="s">
        <v>49</v>
      </c>
      <c r="M179" s="3" t="s">
        <v>180</v>
      </c>
      <c r="N179" s="3" t="s">
        <v>50</v>
      </c>
    </row>
    <row r="180" customFormat="false" ht="15" hidden="false" customHeight="true" outlineLevel="0" collapsed="false">
      <c r="A180" s="3" t="s">
        <v>379</v>
      </c>
      <c r="B180" s="3" t="s">
        <v>15</v>
      </c>
      <c r="C180" s="3" t="s">
        <v>16</v>
      </c>
      <c r="D180" s="3" t="s">
        <v>35</v>
      </c>
      <c r="E180" s="3" t="s">
        <v>189</v>
      </c>
      <c r="F180" s="3" t="s">
        <v>37</v>
      </c>
      <c r="G180" s="3" t="s">
        <v>41</v>
      </c>
      <c r="H180" s="3" t="s">
        <v>37</v>
      </c>
      <c r="I180" s="3"/>
      <c r="J180" s="4"/>
      <c r="K180" s="3"/>
      <c r="L180" s="3" t="s">
        <v>49</v>
      </c>
      <c r="M180" s="3" t="s">
        <v>176</v>
      </c>
      <c r="N180" s="3"/>
    </row>
    <row r="181" customFormat="false" ht="15" hidden="false" customHeight="true" outlineLevel="0" collapsed="false">
      <c r="A181" s="3" t="s">
        <v>380</v>
      </c>
      <c r="B181" s="3" t="s">
        <v>15</v>
      </c>
      <c r="C181" s="3" t="s">
        <v>16</v>
      </c>
      <c r="D181" s="3" t="s">
        <v>35</v>
      </c>
      <c r="E181" s="3" t="s">
        <v>207</v>
      </c>
      <c r="F181" s="3" t="s">
        <v>197</v>
      </c>
      <c r="G181" s="3" t="s">
        <v>41</v>
      </c>
      <c r="H181" s="3" t="s">
        <v>37</v>
      </c>
      <c r="I181" s="3"/>
      <c r="J181" s="4"/>
      <c r="K181" s="3" t="s">
        <v>381</v>
      </c>
      <c r="L181" s="3" t="s">
        <v>356</v>
      </c>
      <c r="M181" s="3" t="s">
        <v>235</v>
      </c>
      <c r="N181" s="3" t="s">
        <v>50</v>
      </c>
    </row>
    <row r="182" customFormat="false" ht="15" hidden="false" customHeight="true" outlineLevel="0" collapsed="false">
      <c r="A182" s="3" t="s">
        <v>382</v>
      </c>
      <c r="B182" s="3" t="s">
        <v>15</v>
      </c>
      <c r="C182" s="3" t="s">
        <v>16</v>
      </c>
      <c r="D182" s="3" t="s">
        <v>35</v>
      </c>
      <c r="E182" s="3" t="s">
        <v>207</v>
      </c>
      <c r="F182" s="3" t="s">
        <v>197</v>
      </c>
      <c r="G182" s="3" t="s">
        <v>41</v>
      </c>
      <c r="H182" s="3" t="s">
        <v>37</v>
      </c>
      <c r="I182" s="3"/>
      <c r="J182" s="4"/>
      <c r="K182" s="3" t="s">
        <v>381</v>
      </c>
      <c r="L182" s="3" t="s">
        <v>356</v>
      </c>
      <c r="M182" s="3" t="s">
        <v>235</v>
      </c>
      <c r="N182" s="3" t="s">
        <v>50</v>
      </c>
    </row>
    <row r="183" customFormat="false" ht="15" hidden="false" customHeight="true" outlineLevel="0" collapsed="false">
      <c r="A183" s="3" t="s">
        <v>383</v>
      </c>
      <c r="B183" s="3" t="s">
        <v>15</v>
      </c>
      <c r="C183" s="3" t="s">
        <v>16</v>
      </c>
      <c r="D183" s="3" t="s">
        <v>17</v>
      </c>
      <c r="E183" s="3" t="s">
        <v>18</v>
      </c>
      <c r="F183" s="3" t="s">
        <v>384</v>
      </c>
      <c r="G183" s="3" t="s">
        <v>41</v>
      </c>
      <c r="H183" s="3" t="s">
        <v>385</v>
      </c>
      <c r="I183" s="3"/>
      <c r="J183" s="4" t="n">
        <v>6654.8</v>
      </c>
      <c r="K183" s="3" t="s">
        <v>386</v>
      </c>
      <c r="L183" s="3" t="s">
        <v>47</v>
      </c>
      <c r="M183" s="3" t="s">
        <v>84</v>
      </c>
      <c r="N183" s="3"/>
    </row>
    <row r="184" customFormat="false" ht="15" hidden="false" customHeight="true" outlineLevel="0" collapsed="false">
      <c r="A184" s="3" t="s">
        <v>387</v>
      </c>
      <c r="B184" s="3" t="s">
        <v>15</v>
      </c>
      <c r="C184" s="3" t="s">
        <v>16</v>
      </c>
      <c r="D184" s="3" t="s">
        <v>17</v>
      </c>
      <c r="E184" s="3" t="s">
        <v>388</v>
      </c>
      <c r="F184" s="3" t="s">
        <v>389</v>
      </c>
      <c r="G184" s="3" t="s">
        <v>41</v>
      </c>
      <c r="H184" s="3" t="s">
        <v>385</v>
      </c>
      <c r="I184" s="3"/>
      <c r="J184" s="4" t="n">
        <v>3241</v>
      </c>
      <c r="K184" s="3" t="s">
        <v>390</v>
      </c>
      <c r="L184" s="3" t="s">
        <v>245</v>
      </c>
      <c r="M184" s="3" t="s">
        <v>391</v>
      </c>
      <c r="N184" s="3"/>
    </row>
    <row r="185" customFormat="false" ht="15" hidden="false" customHeight="true" outlineLevel="0" collapsed="false">
      <c r="A185" s="3" t="s">
        <v>392</v>
      </c>
      <c r="B185" s="3" t="s">
        <v>15</v>
      </c>
      <c r="C185" s="3" t="s">
        <v>16</v>
      </c>
      <c r="D185" s="3" t="s">
        <v>17</v>
      </c>
      <c r="E185" s="3" t="s">
        <v>393</v>
      </c>
      <c r="F185" s="3" t="s">
        <v>237</v>
      </c>
      <c r="G185" s="3" t="s">
        <v>41</v>
      </c>
      <c r="H185" s="3" t="s">
        <v>385</v>
      </c>
      <c r="I185" s="3"/>
      <c r="J185" s="4" t="n">
        <v>2485.7</v>
      </c>
      <c r="K185" s="3"/>
      <c r="L185" s="3" t="s">
        <v>49</v>
      </c>
      <c r="M185" s="3" t="s">
        <v>84</v>
      </c>
      <c r="N185" s="3"/>
    </row>
    <row r="186" customFormat="false" ht="15" hidden="false" customHeight="true" outlineLevel="0" collapsed="false">
      <c r="A186" s="3" t="s">
        <v>394</v>
      </c>
      <c r="B186" s="3" t="s">
        <v>15</v>
      </c>
      <c r="C186" s="3" t="s">
        <v>16</v>
      </c>
      <c r="D186" s="3" t="s">
        <v>17</v>
      </c>
      <c r="E186" s="3" t="s">
        <v>393</v>
      </c>
      <c r="F186" s="3" t="s">
        <v>86</v>
      </c>
      <c r="G186" s="3" t="s">
        <v>41</v>
      </c>
      <c r="H186" s="3" t="s">
        <v>385</v>
      </c>
      <c r="I186" s="3"/>
      <c r="J186" s="4" t="n">
        <v>2277.5</v>
      </c>
      <c r="K186" s="3" t="s">
        <v>395</v>
      </c>
      <c r="L186" s="3" t="s">
        <v>245</v>
      </c>
      <c r="M186" s="3" t="s">
        <v>84</v>
      </c>
      <c r="N186" s="3"/>
    </row>
    <row r="187" customFormat="false" ht="15" hidden="false" customHeight="true" outlineLevel="0" collapsed="false">
      <c r="A187" s="3" t="s">
        <v>396</v>
      </c>
      <c r="B187" s="3" t="s">
        <v>15</v>
      </c>
      <c r="C187" s="3" t="s">
        <v>16</v>
      </c>
      <c r="D187" s="3" t="s">
        <v>17</v>
      </c>
      <c r="E187" s="3" t="s">
        <v>18</v>
      </c>
      <c r="F187" s="3" t="s">
        <v>384</v>
      </c>
      <c r="G187" s="3" t="s">
        <v>41</v>
      </c>
      <c r="H187" s="3" t="s">
        <v>385</v>
      </c>
      <c r="I187" s="3"/>
      <c r="J187" s="4" t="n">
        <v>2162.9</v>
      </c>
      <c r="K187" s="3"/>
      <c r="L187" s="3" t="s">
        <v>49</v>
      </c>
      <c r="M187" s="3" t="s">
        <v>84</v>
      </c>
      <c r="N187" s="3"/>
    </row>
    <row r="188" customFormat="false" ht="15" hidden="false" customHeight="true" outlineLevel="0" collapsed="false">
      <c r="A188" s="3" t="s">
        <v>397</v>
      </c>
      <c r="B188" s="3" t="s">
        <v>15</v>
      </c>
      <c r="C188" s="3" t="s">
        <v>16</v>
      </c>
      <c r="D188" s="3" t="s">
        <v>17</v>
      </c>
      <c r="E188" s="3" t="s">
        <v>393</v>
      </c>
      <c r="F188" s="3" t="s">
        <v>398</v>
      </c>
      <c r="G188" s="3" t="s">
        <v>41</v>
      </c>
      <c r="H188" s="3" t="s">
        <v>385</v>
      </c>
      <c r="I188" s="3"/>
      <c r="J188" s="4" t="n">
        <v>1447</v>
      </c>
      <c r="K188" s="3" t="s">
        <v>399</v>
      </c>
      <c r="L188" s="3" t="s">
        <v>47</v>
      </c>
      <c r="M188" s="3" t="s">
        <v>84</v>
      </c>
      <c r="N188" s="3"/>
    </row>
    <row r="189" customFormat="false" ht="15" hidden="false" customHeight="true" outlineLevel="0" collapsed="false">
      <c r="A189" s="3" t="s">
        <v>400</v>
      </c>
      <c r="B189" s="3" t="s">
        <v>15</v>
      </c>
      <c r="C189" s="3" t="s">
        <v>16</v>
      </c>
      <c r="D189" s="3" t="s">
        <v>17</v>
      </c>
      <c r="E189" s="3" t="s">
        <v>388</v>
      </c>
      <c r="F189" s="3" t="s">
        <v>389</v>
      </c>
      <c r="G189" s="3" t="s">
        <v>41</v>
      </c>
      <c r="H189" s="3" t="s">
        <v>385</v>
      </c>
      <c r="I189" s="3"/>
      <c r="J189" s="4" t="n">
        <v>1250.1</v>
      </c>
      <c r="K189" s="3" t="s">
        <v>401</v>
      </c>
      <c r="L189" s="3" t="s">
        <v>47</v>
      </c>
      <c r="M189" s="3" t="s">
        <v>391</v>
      </c>
      <c r="N189" s="3"/>
    </row>
    <row r="190" customFormat="false" ht="15" hidden="false" customHeight="true" outlineLevel="0" collapsed="false">
      <c r="A190" s="3" t="s">
        <v>402</v>
      </c>
      <c r="B190" s="3" t="s">
        <v>15</v>
      </c>
      <c r="C190" s="3" t="s">
        <v>16</v>
      </c>
      <c r="D190" s="3" t="s">
        <v>17</v>
      </c>
      <c r="E190" s="3" t="s">
        <v>393</v>
      </c>
      <c r="F190" s="3" t="s">
        <v>398</v>
      </c>
      <c r="G190" s="3" t="s">
        <v>41</v>
      </c>
      <c r="H190" s="3" t="s">
        <v>385</v>
      </c>
      <c r="I190" s="3"/>
      <c r="J190" s="4" t="n">
        <v>1191.5</v>
      </c>
      <c r="K190" s="3" t="s">
        <v>403</v>
      </c>
      <c r="L190" s="3" t="s">
        <v>245</v>
      </c>
      <c r="M190" s="3" t="s">
        <v>84</v>
      </c>
      <c r="N190" s="3"/>
    </row>
    <row r="191" customFormat="false" ht="15" hidden="false" customHeight="true" outlineLevel="0" collapsed="false">
      <c r="A191" s="3" t="s">
        <v>404</v>
      </c>
      <c r="B191" s="3" t="s">
        <v>15</v>
      </c>
      <c r="C191" s="3" t="s">
        <v>16</v>
      </c>
      <c r="D191" s="3" t="s">
        <v>17</v>
      </c>
      <c r="E191" s="3" t="s">
        <v>388</v>
      </c>
      <c r="F191" s="3" t="s">
        <v>389</v>
      </c>
      <c r="G191" s="3" t="s">
        <v>41</v>
      </c>
      <c r="H191" s="3" t="s">
        <v>385</v>
      </c>
      <c r="I191" s="3"/>
      <c r="J191" s="4" t="n">
        <v>1002.6</v>
      </c>
      <c r="K191" s="3" t="s">
        <v>405</v>
      </c>
      <c r="L191" s="3" t="s">
        <v>47</v>
      </c>
      <c r="M191" s="3" t="s">
        <v>391</v>
      </c>
      <c r="N191" s="3"/>
    </row>
    <row r="192" customFormat="false" ht="15" hidden="false" customHeight="true" outlineLevel="0" collapsed="false">
      <c r="A192" s="3" t="s">
        <v>406</v>
      </c>
      <c r="B192" s="3" t="s">
        <v>15</v>
      </c>
      <c r="C192" s="3" t="s">
        <v>16</v>
      </c>
      <c r="D192" s="3" t="s">
        <v>17</v>
      </c>
      <c r="E192" s="3" t="s">
        <v>407</v>
      </c>
      <c r="F192" s="3" t="s">
        <v>384</v>
      </c>
      <c r="G192" s="3" t="s">
        <v>41</v>
      </c>
      <c r="H192" s="3" t="s">
        <v>385</v>
      </c>
      <c r="I192" s="3"/>
      <c r="J192" s="4" t="n">
        <v>967</v>
      </c>
      <c r="K192" s="3" t="s">
        <v>408</v>
      </c>
      <c r="L192" s="3" t="s">
        <v>47</v>
      </c>
      <c r="M192" s="3" t="s">
        <v>84</v>
      </c>
      <c r="N192" s="3"/>
    </row>
    <row r="193" customFormat="false" ht="15" hidden="false" customHeight="true" outlineLevel="0" collapsed="false">
      <c r="A193" s="3" t="s">
        <v>409</v>
      </c>
      <c r="B193" s="3" t="s">
        <v>15</v>
      </c>
      <c r="C193" s="3" t="s">
        <v>16</v>
      </c>
      <c r="D193" s="3" t="s">
        <v>17</v>
      </c>
      <c r="E193" s="3" t="s">
        <v>410</v>
      </c>
      <c r="F193" s="3" t="s">
        <v>369</v>
      </c>
      <c r="G193" s="3" t="s">
        <v>41</v>
      </c>
      <c r="H193" s="3" t="s">
        <v>385</v>
      </c>
      <c r="I193" s="3"/>
      <c r="J193" s="4" t="n">
        <v>881.6</v>
      </c>
      <c r="K193" s="3" t="s">
        <v>411</v>
      </c>
      <c r="L193" s="3" t="s">
        <v>164</v>
      </c>
      <c r="M193" s="3" t="s">
        <v>84</v>
      </c>
      <c r="N193" s="3"/>
    </row>
    <row r="194" customFormat="false" ht="15" hidden="false" customHeight="true" outlineLevel="0" collapsed="false">
      <c r="A194" s="3" t="s">
        <v>412</v>
      </c>
      <c r="B194" s="3" t="s">
        <v>15</v>
      </c>
      <c r="C194" s="3" t="s">
        <v>16</v>
      </c>
      <c r="D194" s="3" t="s">
        <v>17</v>
      </c>
      <c r="E194" s="3" t="s">
        <v>393</v>
      </c>
      <c r="F194" s="3" t="s">
        <v>398</v>
      </c>
      <c r="G194" s="3" t="s">
        <v>41</v>
      </c>
      <c r="H194" s="3" t="s">
        <v>385</v>
      </c>
      <c r="I194" s="3"/>
      <c r="J194" s="4" t="n">
        <v>776</v>
      </c>
      <c r="K194" s="3" t="s">
        <v>413</v>
      </c>
      <c r="L194" s="3" t="s">
        <v>47</v>
      </c>
      <c r="M194" s="3" t="s">
        <v>84</v>
      </c>
      <c r="N194" s="3"/>
    </row>
    <row r="195" customFormat="false" ht="15" hidden="false" customHeight="true" outlineLevel="0" collapsed="false">
      <c r="A195" s="3" t="s">
        <v>414</v>
      </c>
      <c r="B195" s="3" t="s">
        <v>15</v>
      </c>
      <c r="C195" s="3" t="s">
        <v>16</v>
      </c>
      <c r="D195" s="3" t="s">
        <v>17</v>
      </c>
      <c r="E195" s="3" t="s">
        <v>388</v>
      </c>
      <c r="F195" s="3" t="s">
        <v>389</v>
      </c>
      <c r="G195" s="3" t="s">
        <v>41</v>
      </c>
      <c r="H195" s="3" t="s">
        <v>385</v>
      </c>
      <c r="I195" s="3"/>
      <c r="J195" s="4" t="n">
        <v>505.3</v>
      </c>
      <c r="K195" s="3" t="s">
        <v>415</v>
      </c>
      <c r="L195" s="3" t="s">
        <v>47</v>
      </c>
      <c r="M195" s="3" t="s">
        <v>391</v>
      </c>
      <c r="N195" s="3"/>
    </row>
    <row r="196" customFormat="false" ht="15" hidden="false" customHeight="true" outlineLevel="0" collapsed="false">
      <c r="A196" s="3" t="s">
        <v>416</v>
      </c>
      <c r="B196" s="3" t="s">
        <v>15</v>
      </c>
      <c r="C196" s="3" t="s">
        <v>16</v>
      </c>
      <c r="D196" s="3" t="s">
        <v>17</v>
      </c>
      <c r="E196" s="3" t="s">
        <v>18</v>
      </c>
      <c r="F196" s="3" t="s">
        <v>384</v>
      </c>
      <c r="G196" s="3" t="s">
        <v>41</v>
      </c>
      <c r="H196" s="3" t="s">
        <v>385</v>
      </c>
      <c r="I196" s="3"/>
      <c r="J196" s="4" t="n">
        <v>500</v>
      </c>
      <c r="K196" s="3"/>
      <c r="L196" s="3" t="s">
        <v>49</v>
      </c>
      <c r="M196" s="3" t="s">
        <v>84</v>
      </c>
      <c r="N196" s="3"/>
    </row>
    <row r="197" customFormat="false" ht="15" hidden="false" customHeight="true" outlineLevel="0" collapsed="false">
      <c r="A197" s="3" t="s">
        <v>417</v>
      </c>
      <c r="B197" s="3" t="s">
        <v>15</v>
      </c>
      <c r="C197" s="3" t="s">
        <v>16</v>
      </c>
      <c r="D197" s="3" t="s">
        <v>17</v>
      </c>
      <c r="E197" s="3" t="s">
        <v>388</v>
      </c>
      <c r="F197" s="3" t="s">
        <v>389</v>
      </c>
      <c r="G197" s="3" t="s">
        <v>41</v>
      </c>
      <c r="H197" s="3" t="s">
        <v>385</v>
      </c>
      <c r="I197" s="3"/>
      <c r="J197" s="4" t="n">
        <v>465</v>
      </c>
      <c r="K197" s="3" t="s">
        <v>418</v>
      </c>
      <c r="L197" s="3" t="s">
        <v>47</v>
      </c>
      <c r="M197" s="3" t="s">
        <v>391</v>
      </c>
      <c r="N197" s="3"/>
    </row>
    <row r="198" customFormat="false" ht="15" hidden="false" customHeight="true" outlineLevel="0" collapsed="false">
      <c r="A198" s="3" t="s">
        <v>419</v>
      </c>
      <c r="B198" s="3" t="s">
        <v>15</v>
      </c>
      <c r="C198" s="3" t="s">
        <v>16</v>
      </c>
      <c r="D198" s="3" t="s">
        <v>17</v>
      </c>
      <c r="E198" s="3" t="s">
        <v>410</v>
      </c>
      <c r="F198" s="3" t="s">
        <v>369</v>
      </c>
      <c r="G198" s="3" t="s">
        <v>41</v>
      </c>
      <c r="H198" s="3" t="s">
        <v>385</v>
      </c>
      <c r="I198" s="3"/>
      <c r="J198" s="4" t="n">
        <v>251.9</v>
      </c>
      <c r="K198" s="3" t="s">
        <v>420</v>
      </c>
      <c r="L198" s="3" t="s">
        <v>47</v>
      </c>
      <c r="M198" s="3" t="s">
        <v>84</v>
      </c>
      <c r="N198" s="3"/>
    </row>
    <row r="199" customFormat="false" ht="15" hidden="false" customHeight="true" outlineLevel="0" collapsed="false">
      <c r="A199" s="3" t="s">
        <v>421</v>
      </c>
      <c r="B199" s="3" t="s">
        <v>15</v>
      </c>
      <c r="C199" s="3" t="s">
        <v>16</v>
      </c>
      <c r="D199" s="3" t="s">
        <v>17</v>
      </c>
      <c r="E199" s="3" t="s">
        <v>410</v>
      </c>
      <c r="F199" s="3" t="s">
        <v>369</v>
      </c>
      <c r="G199" s="3" t="s">
        <v>41</v>
      </c>
      <c r="H199" s="3" t="s">
        <v>385</v>
      </c>
      <c r="I199" s="3"/>
      <c r="J199" s="4" t="n">
        <v>241.5</v>
      </c>
      <c r="K199" s="3" t="s">
        <v>422</v>
      </c>
      <c r="L199" s="3" t="s">
        <v>47</v>
      </c>
      <c r="M199" s="3" t="s">
        <v>84</v>
      </c>
      <c r="N199" s="3"/>
    </row>
    <row r="200" customFormat="false" ht="15" hidden="false" customHeight="true" outlineLevel="0" collapsed="false">
      <c r="A200" s="3" t="s">
        <v>423</v>
      </c>
      <c r="B200" s="3" t="s">
        <v>15</v>
      </c>
      <c r="C200" s="3" t="s">
        <v>16</v>
      </c>
      <c r="D200" s="3" t="s">
        <v>17</v>
      </c>
      <c r="E200" s="3" t="s">
        <v>410</v>
      </c>
      <c r="F200" s="3" t="s">
        <v>369</v>
      </c>
      <c r="G200" s="3" t="s">
        <v>41</v>
      </c>
      <c r="H200" s="3" t="s">
        <v>385</v>
      </c>
      <c r="I200" s="3"/>
      <c r="J200" s="4" t="n">
        <v>151.4</v>
      </c>
      <c r="K200" s="3" t="s">
        <v>424</v>
      </c>
      <c r="L200" s="3" t="s">
        <v>47</v>
      </c>
      <c r="M200" s="3" t="s">
        <v>84</v>
      </c>
      <c r="N200" s="3"/>
    </row>
    <row r="201" customFormat="false" ht="15" hidden="false" customHeight="true" outlineLevel="0" collapsed="false">
      <c r="A201" s="3" t="s">
        <v>425</v>
      </c>
      <c r="B201" s="3" t="s">
        <v>15</v>
      </c>
      <c r="C201" s="3" t="s">
        <v>16</v>
      </c>
      <c r="D201" s="3" t="s">
        <v>17</v>
      </c>
      <c r="E201" s="3" t="s">
        <v>410</v>
      </c>
      <c r="F201" s="3" t="s">
        <v>369</v>
      </c>
      <c r="G201" s="3" t="s">
        <v>41</v>
      </c>
      <c r="H201" s="3" t="s">
        <v>385</v>
      </c>
      <c r="I201" s="3"/>
      <c r="J201" s="4" t="n">
        <v>147.8</v>
      </c>
      <c r="K201" s="3" t="s">
        <v>426</v>
      </c>
      <c r="L201" s="3" t="s">
        <v>47</v>
      </c>
      <c r="M201" s="3" t="s">
        <v>84</v>
      </c>
      <c r="N201" s="3"/>
    </row>
    <row r="202" customFormat="false" ht="15" hidden="false" customHeight="true" outlineLevel="0" collapsed="false">
      <c r="A202" s="3" t="s">
        <v>427</v>
      </c>
      <c r="B202" s="3" t="s">
        <v>15</v>
      </c>
      <c r="C202" s="3" t="s">
        <v>16</v>
      </c>
      <c r="D202" s="3" t="s">
        <v>17</v>
      </c>
      <c r="E202" s="3" t="s">
        <v>388</v>
      </c>
      <c r="F202" s="3" t="s">
        <v>389</v>
      </c>
      <c r="G202" s="3" t="s">
        <v>41</v>
      </c>
      <c r="H202" s="3" t="s">
        <v>385</v>
      </c>
      <c r="I202" s="3"/>
      <c r="J202" s="4" t="n">
        <v>142.5</v>
      </c>
      <c r="K202" s="3" t="s">
        <v>428</v>
      </c>
      <c r="L202" s="3" t="s">
        <v>47</v>
      </c>
      <c r="M202" s="3" t="s">
        <v>391</v>
      </c>
      <c r="N202" s="3"/>
    </row>
    <row r="203" customFormat="false" ht="15" hidden="false" customHeight="true" outlineLevel="0" collapsed="false">
      <c r="A203" s="3" t="s">
        <v>429</v>
      </c>
      <c r="B203" s="3" t="s">
        <v>15</v>
      </c>
      <c r="C203" s="3" t="s">
        <v>16</v>
      </c>
      <c r="D203" s="3" t="s">
        <v>17</v>
      </c>
      <c r="E203" s="3" t="s">
        <v>18</v>
      </c>
      <c r="F203" s="3" t="s">
        <v>384</v>
      </c>
      <c r="G203" s="3" t="s">
        <v>41</v>
      </c>
      <c r="H203" s="3" t="s">
        <v>385</v>
      </c>
      <c r="I203" s="3"/>
      <c r="J203" s="4" t="n">
        <v>109.8</v>
      </c>
      <c r="K203" s="3"/>
      <c r="L203" s="3" t="s">
        <v>49</v>
      </c>
      <c r="M203" s="3" t="s">
        <v>84</v>
      </c>
      <c r="N203" s="3"/>
    </row>
    <row r="204" customFormat="false" ht="15" hidden="false" customHeight="true" outlineLevel="0" collapsed="false">
      <c r="A204" s="3" t="s">
        <v>430</v>
      </c>
      <c r="B204" s="3" t="s">
        <v>15</v>
      </c>
      <c r="C204" s="3" t="s">
        <v>16</v>
      </c>
      <c r="D204" s="3" t="s">
        <v>17</v>
      </c>
      <c r="E204" s="3" t="s">
        <v>393</v>
      </c>
      <c r="F204" s="3" t="s">
        <v>86</v>
      </c>
      <c r="G204" s="3" t="s">
        <v>41</v>
      </c>
      <c r="H204" s="3" t="s">
        <v>385</v>
      </c>
      <c r="I204" s="3"/>
      <c r="J204" s="4" t="n">
        <v>91.6</v>
      </c>
      <c r="K204" s="3" t="s">
        <v>431</v>
      </c>
      <c r="L204" s="3" t="s">
        <v>245</v>
      </c>
      <c r="M204" s="3" t="s">
        <v>84</v>
      </c>
      <c r="N204" s="3"/>
    </row>
    <row r="205" customFormat="false" ht="15" hidden="false" customHeight="true" outlineLevel="0" collapsed="false">
      <c r="A205" s="3" t="s">
        <v>432</v>
      </c>
      <c r="B205" s="3" t="s">
        <v>15</v>
      </c>
      <c r="C205" s="3" t="s">
        <v>16</v>
      </c>
      <c r="D205" s="3" t="s">
        <v>17</v>
      </c>
      <c r="E205" s="3" t="s">
        <v>407</v>
      </c>
      <c r="F205" s="3" t="s">
        <v>384</v>
      </c>
      <c r="G205" s="3" t="s">
        <v>41</v>
      </c>
      <c r="H205" s="3" t="s">
        <v>385</v>
      </c>
      <c r="I205" s="3"/>
      <c r="J205" s="4" t="n">
        <v>70</v>
      </c>
      <c r="K205" s="3"/>
      <c r="L205" s="3" t="s">
        <v>49</v>
      </c>
      <c r="M205" s="3" t="s">
        <v>84</v>
      </c>
      <c r="N205" s="3"/>
    </row>
    <row r="206" customFormat="false" ht="15" hidden="false" customHeight="true" outlineLevel="0" collapsed="false">
      <c r="A206" s="3" t="s">
        <v>433</v>
      </c>
      <c r="B206" s="3" t="s">
        <v>15</v>
      </c>
      <c r="C206" s="3" t="s">
        <v>16</v>
      </c>
      <c r="D206" s="3" t="s">
        <v>17</v>
      </c>
      <c r="E206" s="3" t="s">
        <v>393</v>
      </c>
      <c r="F206" s="3" t="s">
        <v>86</v>
      </c>
      <c r="G206" s="3" t="s">
        <v>41</v>
      </c>
      <c r="H206" s="3" t="s">
        <v>385</v>
      </c>
      <c r="I206" s="3"/>
      <c r="J206" s="4" t="n">
        <v>62</v>
      </c>
      <c r="K206" s="3" t="s">
        <v>395</v>
      </c>
      <c r="L206" s="3" t="s">
        <v>47</v>
      </c>
      <c r="M206" s="3" t="s">
        <v>84</v>
      </c>
      <c r="N206" s="3"/>
    </row>
    <row r="207" customFormat="false" ht="15" hidden="false" customHeight="true" outlineLevel="0" collapsed="false">
      <c r="A207" s="3" t="s">
        <v>434</v>
      </c>
      <c r="B207" s="3" t="s">
        <v>15</v>
      </c>
      <c r="C207" s="3" t="s">
        <v>16</v>
      </c>
      <c r="D207" s="3" t="s">
        <v>17</v>
      </c>
      <c r="E207" s="3" t="s">
        <v>410</v>
      </c>
      <c r="F207" s="3" t="s">
        <v>369</v>
      </c>
      <c r="G207" s="3" t="s">
        <v>41</v>
      </c>
      <c r="H207" s="3" t="s">
        <v>385</v>
      </c>
      <c r="I207" s="3"/>
      <c r="J207" s="4" t="n">
        <v>59.9</v>
      </c>
      <c r="K207" s="3" t="s">
        <v>435</v>
      </c>
      <c r="L207" s="3" t="s">
        <v>47</v>
      </c>
      <c r="M207" s="3" t="s">
        <v>84</v>
      </c>
      <c r="N207" s="3"/>
    </row>
    <row r="208" customFormat="false" ht="15" hidden="false" customHeight="true" outlineLevel="0" collapsed="false">
      <c r="A208" s="3" t="s">
        <v>436</v>
      </c>
      <c r="B208" s="3" t="s">
        <v>15</v>
      </c>
      <c r="C208" s="3" t="s">
        <v>16</v>
      </c>
      <c r="D208" s="3" t="s">
        <v>17</v>
      </c>
      <c r="E208" s="3" t="s">
        <v>388</v>
      </c>
      <c r="F208" s="3" t="s">
        <v>389</v>
      </c>
      <c r="G208" s="3" t="s">
        <v>41</v>
      </c>
      <c r="H208" s="3" t="s">
        <v>385</v>
      </c>
      <c r="I208" s="3"/>
      <c r="J208" s="4" t="n">
        <v>59.2</v>
      </c>
      <c r="K208" s="3" t="s">
        <v>437</v>
      </c>
      <c r="L208" s="3" t="s">
        <v>47</v>
      </c>
      <c r="M208" s="3" t="s">
        <v>391</v>
      </c>
      <c r="N208" s="3"/>
    </row>
    <row r="209" customFormat="false" ht="15" hidden="false" customHeight="true" outlineLevel="0" collapsed="false">
      <c r="A209" s="3" t="s">
        <v>438</v>
      </c>
      <c r="B209" s="3" t="s">
        <v>15</v>
      </c>
      <c r="C209" s="3" t="s">
        <v>16</v>
      </c>
      <c r="D209" s="3" t="s">
        <v>17</v>
      </c>
      <c r="E209" s="3" t="s">
        <v>393</v>
      </c>
      <c r="F209" s="3" t="s">
        <v>398</v>
      </c>
      <c r="G209" s="3" t="s">
        <v>41</v>
      </c>
      <c r="H209" s="3" t="s">
        <v>385</v>
      </c>
      <c r="I209" s="3"/>
      <c r="J209" s="4" t="n">
        <v>53.6</v>
      </c>
      <c r="K209" s="3"/>
      <c r="L209" s="3" t="s">
        <v>49</v>
      </c>
      <c r="M209" s="3" t="s">
        <v>84</v>
      </c>
      <c r="N209" s="3"/>
    </row>
    <row r="210" customFormat="false" ht="15" hidden="false" customHeight="true" outlineLevel="0" collapsed="false">
      <c r="A210" s="3" t="s">
        <v>439</v>
      </c>
      <c r="B210" s="3" t="s">
        <v>15</v>
      </c>
      <c r="C210" s="3" t="s">
        <v>16</v>
      </c>
      <c r="D210" s="3" t="s">
        <v>17</v>
      </c>
      <c r="E210" s="3" t="s">
        <v>393</v>
      </c>
      <c r="F210" s="3" t="s">
        <v>398</v>
      </c>
      <c r="G210" s="3" t="s">
        <v>41</v>
      </c>
      <c r="H210" s="3" t="s">
        <v>385</v>
      </c>
      <c r="I210" s="3"/>
      <c r="J210" s="4" t="n">
        <v>51</v>
      </c>
      <c r="K210" s="3" t="s">
        <v>440</v>
      </c>
      <c r="L210" s="3" t="s">
        <v>245</v>
      </c>
      <c r="M210" s="3" t="s">
        <v>84</v>
      </c>
      <c r="N210" s="3"/>
    </row>
    <row r="211" customFormat="false" ht="15" hidden="false" customHeight="true" outlineLevel="0" collapsed="false">
      <c r="A211" s="3" t="s">
        <v>441</v>
      </c>
      <c r="B211" s="3" t="s">
        <v>15</v>
      </c>
      <c r="C211" s="3" t="s">
        <v>16</v>
      </c>
      <c r="D211" s="3" t="s">
        <v>17</v>
      </c>
      <c r="E211" s="3" t="s">
        <v>393</v>
      </c>
      <c r="F211" s="3" t="s">
        <v>398</v>
      </c>
      <c r="G211" s="3" t="s">
        <v>41</v>
      </c>
      <c r="H211" s="3" t="s">
        <v>385</v>
      </c>
      <c r="I211" s="3"/>
      <c r="J211" s="4" t="n">
        <v>48.8</v>
      </c>
      <c r="K211" s="3" t="s">
        <v>442</v>
      </c>
      <c r="L211" s="3" t="s">
        <v>47</v>
      </c>
      <c r="M211" s="3" t="s">
        <v>84</v>
      </c>
      <c r="N211" s="3"/>
    </row>
    <row r="212" customFormat="false" ht="15" hidden="false" customHeight="true" outlineLevel="0" collapsed="false">
      <c r="A212" s="3" t="s">
        <v>443</v>
      </c>
      <c r="B212" s="3" t="s">
        <v>15</v>
      </c>
      <c r="C212" s="3" t="s">
        <v>16</v>
      </c>
      <c r="D212" s="3" t="s">
        <v>17</v>
      </c>
      <c r="E212" s="3" t="s">
        <v>393</v>
      </c>
      <c r="F212" s="3" t="s">
        <v>398</v>
      </c>
      <c r="G212" s="3" t="s">
        <v>41</v>
      </c>
      <c r="H212" s="3" t="s">
        <v>385</v>
      </c>
      <c r="I212" s="3"/>
      <c r="J212" s="4" t="n">
        <v>45.4</v>
      </c>
      <c r="K212" s="3" t="s">
        <v>444</v>
      </c>
      <c r="L212" s="3" t="s">
        <v>47</v>
      </c>
      <c r="M212" s="3" t="s">
        <v>84</v>
      </c>
      <c r="N212" s="3"/>
    </row>
    <row r="213" customFormat="false" ht="15" hidden="false" customHeight="true" outlineLevel="0" collapsed="false">
      <c r="A213" s="3" t="s">
        <v>445</v>
      </c>
      <c r="B213" s="3" t="s">
        <v>15</v>
      </c>
      <c r="C213" s="3" t="s">
        <v>16</v>
      </c>
      <c r="D213" s="3" t="s">
        <v>17</v>
      </c>
      <c r="E213" s="3" t="s">
        <v>410</v>
      </c>
      <c r="F213" s="3" t="s">
        <v>369</v>
      </c>
      <c r="G213" s="3" t="s">
        <v>41</v>
      </c>
      <c r="H213" s="3" t="s">
        <v>385</v>
      </c>
      <c r="I213" s="3"/>
      <c r="J213" s="4" t="n">
        <v>44.3</v>
      </c>
      <c r="K213" s="3" t="s">
        <v>446</v>
      </c>
      <c r="L213" s="3" t="s">
        <v>47</v>
      </c>
      <c r="M213" s="3" t="s">
        <v>84</v>
      </c>
      <c r="N213" s="3"/>
    </row>
    <row r="214" customFormat="false" ht="15" hidden="false" customHeight="true" outlineLevel="0" collapsed="false">
      <c r="A214" s="3" t="s">
        <v>447</v>
      </c>
      <c r="B214" s="3" t="s">
        <v>15</v>
      </c>
      <c r="C214" s="3" t="s">
        <v>16</v>
      </c>
      <c r="D214" s="3" t="s">
        <v>17</v>
      </c>
      <c r="E214" s="3" t="s">
        <v>393</v>
      </c>
      <c r="F214" s="3" t="s">
        <v>86</v>
      </c>
      <c r="G214" s="3" t="s">
        <v>41</v>
      </c>
      <c r="H214" s="3" t="s">
        <v>385</v>
      </c>
      <c r="I214" s="3"/>
      <c r="J214" s="4" t="n">
        <v>44</v>
      </c>
      <c r="K214" s="3" t="s">
        <v>395</v>
      </c>
      <c r="L214" s="3" t="s">
        <v>47</v>
      </c>
      <c r="M214" s="3" t="s">
        <v>84</v>
      </c>
      <c r="N214" s="3"/>
    </row>
    <row r="215" customFormat="false" ht="15" hidden="false" customHeight="true" outlineLevel="0" collapsed="false">
      <c r="A215" s="3" t="s">
        <v>448</v>
      </c>
      <c r="B215" s="3" t="s">
        <v>15</v>
      </c>
      <c r="C215" s="3" t="s">
        <v>16</v>
      </c>
      <c r="D215" s="3" t="s">
        <v>17</v>
      </c>
      <c r="E215" s="3" t="s">
        <v>410</v>
      </c>
      <c r="F215" s="3" t="s">
        <v>369</v>
      </c>
      <c r="G215" s="3" t="s">
        <v>41</v>
      </c>
      <c r="H215" s="3" t="s">
        <v>385</v>
      </c>
      <c r="I215" s="3"/>
      <c r="J215" s="4" t="n">
        <v>43.1</v>
      </c>
      <c r="K215" s="3" t="s">
        <v>424</v>
      </c>
      <c r="L215" s="3" t="s">
        <v>47</v>
      </c>
      <c r="M215" s="3" t="s">
        <v>84</v>
      </c>
      <c r="N215" s="3"/>
    </row>
    <row r="216" customFormat="false" ht="15" hidden="false" customHeight="true" outlineLevel="0" collapsed="false">
      <c r="A216" s="3" t="s">
        <v>449</v>
      </c>
      <c r="B216" s="3" t="s">
        <v>15</v>
      </c>
      <c r="C216" s="3" t="s">
        <v>16</v>
      </c>
      <c r="D216" s="3" t="s">
        <v>17</v>
      </c>
      <c r="E216" s="3" t="s">
        <v>407</v>
      </c>
      <c r="F216" s="3" t="s">
        <v>237</v>
      </c>
      <c r="G216" s="3" t="s">
        <v>41</v>
      </c>
      <c r="H216" s="3" t="s">
        <v>385</v>
      </c>
      <c r="I216" s="3"/>
      <c r="J216" s="4" t="n">
        <v>28</v>
      </c>
      <c r="K216" s="3" t="s">
        <v>450</v>
      </c>
      <c r="L216" s="3" t="s">
        <v>47</v>
      </c>
      <c r="M216" s="3" t="s">
        <v>84</v>
      </c>
      <c r="N216" s="3"/>
    </row>
    <row r="217" customFormat="false" ht="15" hidden="false" customHeight="true" outlineLevel="0" collapsed="false">
      <c r="A217" s="3" t="s">
        <v>451</v>
      </c>
      <c r="B217" s="3" t="s">
        <v>15</v>
      </c>
      <c r="C217" s="3" t="s">
        <v>16</v>
      </c>
      <c r="D217" s="3" t="s">
        <v>17</v>
      </c>
      <c r="E217" s="3" t="s">
        <v>388</v>
      </c>
      <c r="F217" s="3" t="s">
        <v>389</v>
      </c>
      <c r="G217" s="3" t="s">
        <v>41</v>
      </c>
      <c r="H217" s="3" t="s">
        <v>385</v>
      </c>
      <c r="I217" s="3"/>
      <c r="J217" s="4" t="n">
        <v>26.5</v>
      </c>
      <c r="K217" s="3"/>
      <c r="L217" s="3" t="s">
        <v>49</v>
      </c>
      <c r="M217" s="3" t="s">
        <v>391</v>
      </c>
      <c r="N217" s="3"/>
    </row>
    <row r="218" customFormat="false" ht="15" hidden="false" customHeight="true" outlineLevel="0" collapsed="false">
      <c r="A218" s="3" t="s">
        <v>452</v>
      </c>
      <c r="B218" s="3" t="s">
        <v>15</v>
      </c>
      <c r="C218" s="3" t="s">
        <v>16</v>
      </c>
      <c r="D218" s="3" t="s">
        <v>17</v>
      </c>
      <c r="E218" s="3" t="s">
        <v>407</v>
      </c>
      <c r="F218" s="3" t="s">
        <v>82</v>
      </c>
      <c r="G218" s="3" t="s">
        <v>41</v>
      </c>
      <c r="H218" s="3" t="s">
        <v>385</v>
      </c>
      <c r="I218" s="3"/>
      <c r="J218" s="4" t="n">
        <v>26</v>
      </c>
      <c r="K218" s="3"/>
      <c r="L218" s="3" t="s">
        <v>49</v>
      </c>
      <c r="M218" s="3" t="s">
        <v>84</v>
      </c>
      <c r="N218" s="3"/>
    </row>
    <row r="219" customFormat="false" ht="15" hidden="false" customHeight="true" outlineLevel="0" collapsed="false">
      <c r="A219" s="3" t="s">
        <v>453</v>
      </c>
      <c r="B219" s="3" t="s">
        <v>15</v>
      </c>
      <c r="C219" s="3" t="s">
        <v>16</v>
      </c>
      <c r="D219" s="3" t="s">
        <v>17</v>
      </c>
      <c r="E219" s="3" t="s">
        <v>410</v>
      </c>
      <c r="F219" s="3" t="s">
        <v>369</v>
      </c>
      <c r="G219" s="3" t="s">
        <v>41</v>
      </c>
      <c r="H219" s="3" t="s">
        <v>385</v>
      </c>
      <c r="I219" s="3"/>
      <c r="J219" s="4" t="n">
        <v>21.3</v>
      </c>
      <c r="K219" s="3" t="s">
        <v>454</v>
      </c>
      <c r="L219" s="3" t="s">
        <v>47</v>
      </c>
      <c r="M219" s="3" t="s">
        <v>84</v>
      </c>
      <c r="N219" s="3"/>
    </row>
    <row r="220" customFormat="false" ht="15" hidden="false" customHeight="true" outlineLevel="0" collapsed="false">
      <c r="A220" s="3" t="s">
        <v>455</v>
      </c>
      <c r="B220" s="3" t="s">
        <v>15</v>
      </c>
      <c r="C220" s="3" t="s">
        <v>16</v>
      </c>
      <c r="D220" s="3" t="s">
        <v>17</v>
      </c>
      <c r="E220" s="3" t="s">
        <v>18</v>
      </c>
      <c r="F220" s="3" t="s">
        <v>384</v>
      </c>
      <c r="G220" s="3" t="s">
        <v>41</v>
      </c>
      <c r="H220" s="3" t="s">
        <v>385</v>
      </c>
      <c r="I220" s="3"/>
      <c r="J220" s="4" t="n">
        <v>20</v>
      </c>
      <c r="K220" s="3"/>
      <c r="L220" s="3" t="s">
        <v>49</v>
      </c>
      <c r="M220" s="3" t="s">
        <v>84</v>
      </c>
      <c r="N220" s="3"/>
    </row>
    <row r="221" customFormat="false" ht="15" hidden="false" customHeight="true" outlineLevel="0" collapsed="false">
      <c r="A221" s="3" t="s">
        <v>456</v>
      </c>
      <c r="B221" s="3" t="s">
        <v>15</v>
      </c>
      <c r="C221" s="3" t="s">
        <v>16</v>
      </c>
      <c r="D221" s="3" t="s">
        <v>17</v>
      </c>
      <c r="E221" s="3" t="s">
        <v>18</v>
      </c>
      <c r="F221" s="3" t="s">
        <v>384</v>
      </c>
      <c r="G221" s="3" t="s">
        <v>41</v>
      </c>
      <c r="H221" s="3" t="s">
        <v>385</v>
      </c>
      <c r="I221" s="3"/>
      <c r="J221" s="4" t="n">
        <v>18.1</v>
      </c>
      <c r="K221" s="3" t="s">
        <v>457</v>
      </c>
      <c r="L221" s="3" t="s">
        <v>47</v>
      </c>
      <c r="M221" s="3" t="s">
        <v>84</v>
      </c>
      <c r="N221" s="3"/>
    </row>
    <row r="222" customFormat="false" ht="15" hidden="false" customHeight="true" outlineLevel="0" collapsed="false">
      <c r="A222" s="3" t="s">
        <v>458</v>
      </c>
      <c r="B222" s="3" t="s">
        <v>15</v>
      </c>
      <c r="C222" s="3" t="s">
        <v>16</v>
      </c>
      <c r="D222" s="3" t="s">
        <v>17</v>
      </c>
      <c r="E222" s="3" t="s">
        <v>18</v>
      </c>
      <c r="F222" s="3" t="s">
        <v>384</v>
      </c>
      <c r="G222" s="3" t="s">
        <v>41</v>
      </c>
      <c r="H222" s="3" t="s">
        <v>385</v>
      </c>
      <c r="I222" s="3"/>
      <c r="J222" s="4" t="n">
        <v>18.1</v>
      </c>
      <c r="K222" s="3"/>
      <c r="L222" s="3" t="s">
        <v>49</v>
      </c>
      <c r="M222" s="3" t="s">
        <v>84</v>
      </c>
      <c r="N222" s="3"/>
    </row>
    <row r="223" customFormat="false" ht="15" hidden="false" customHeight="true" outlineLevel="0" collapsed="false">
      <c r="A223" s="3" t="s">
        <v>459</v>
      </c>
      <c r="B223" s="3" t="s">
        <v>15</v>
      </c>
      <c r="C223" s="3" t="s">
        <v>16</v>
      </c>
      <c r="D223" s="3" t="s">
        <v>17</v>
      </c>
      <c r="E223" s="3" t="s">
        <v>18</v>
      </c>
      <c r="F223" s="3" t="s">
        <v>384</v>
      </c>
      <c r="G223" s="3" t="s">
        <v>41</v>
      </c>
      <c r="H223" s="3" t="s">
        <v>385</v>
      </c>
      <c r="I223" s="3"/>
      <c r="J223" s="4" t="n">
        <v>17.7</v>
      </c>
      <c r="K223" s="3"/>
      <c r="L223" s="3" t="s">
        <v>49</v>
      </c>
      <c r="M223" s="3" t="s">
        <v>84</v>
      </c>
      <c r="N223" s="3"/>
    </row>
    <row r="224" customFormat="false" ht="15" hidden="false" customHeight="true" outlineLevel="0" collapsed="false">
      <c r="A224" s="3" t="s">
        <v>460</v>
      </c>
      <c r="B224" s="3" t="s">
        <v>15</v>
      </c>
      <c r="C224" s="3" t="s">
        <v>16</v>
      </c>
      <c r="D224" s="3" t="s">
        <v>17</v>
      </c>
      <c r="E224" s="3" t="s">
        <v>407</v>
      </c>
      <c r="F224" s="3" t="s">
        <v>384</v>
      </c>
      <c r="G224" s="3" t="s">
        <v>41</v>
      </c>
      <c r="H224" s="3" t="s">
        <v>385</v>
      </c>
      <c r="I224" s="3"/>
      <c r="J224" s="4" t="n">
        <v>16.7</v>
      </c>
      <c r="K224" s="3" t="s">
        <v>461</v>
      </c>
      <c r="L224" s="3" t="s">
        <v>47</v>
      </c>
      <c r="M224" s="3" t="s">
        <v>84</v>
      </c>
      <c r="N224" s="3"/>
    </row>
    <row r="225" customFormat="false" ht="15" hidden="false" customHeight="true" outlineLevel="0" collapsed="false">
      <c r="A225" s="3" t="s">
        <v>462</v>
      </c>
      <c r="B225" s="3" t="s">
        <v>15</v>
      </c>
      <c r="C225" s="3" t="s">
        <v>16</v>
      </c>
      <c r="D225" s="3" t="s">
        <v>17</v>
      </c>
      <c r="E225" s="3" t="s">
        <v>410</v>
      </c>
      <c r="F225" s="3" t="s">
        <v>369</v>
      </c>
      <c r="G225" s="3" t="s">
        <v>41</v>
      </c>
      <c r="H225" s="3" t="s">
        <v>385</v>
      </c>
      <c r="I225" s="3"/>
      <c r="J225" s="4" t="n">
        <v>14.9</v>
      </c>
      <c r="K225" s="3"/>
      <c r="L225" s="3" t="s">
        <v>49</v>
      </c>
      <c r="M225" s="3" t="s">
        <v>84</v>
      </c>
      <c r="N225" s="3"/>
    </row>
    <row r="226" customFormat="false" ht="15" hidden="false" customHeight="true" outlineLevel="0" collapsed="false">
      <c r="A226" s="3" t="s">
        <v>463</v>
      </c>
      <c r="B226" s="3" t="s">
        <v>15</v>
      </c>
      <c r="C226" s="3" t="s">
        <v>16</v>
      </c>
      <c r="D226" s="3" t="s">
        <v>17</v>
      </c>
      <c r="E226" s="3" t="s">
        <v>18</v>
      </c>
      <c r="F226" s="3" t="s">
        <v>384</v>
      </c>
      <c r="G226" s="3" t="s">
        <v>41</v>
      </c>
      <c r="H226" s="3" t="s">
        <v>385</v>
      </c>
      <c r="I226" s="3"/>
      <c r="J226" s="4" t="n">
        <v>14.2</v>
      </c>
      <c r="K226" s="3"/>
      <c r="L226" s="3" t="s">
        <v>49</v>
      </c>
      <c r="M226" s="3" t="s">
        <v>84</v>
      </c>
      <c r="N226" s="3"/>
    </row>
    <row r="227" customFormat="false" ht="15" hidden="false" customHeight="true" outlineLevel="0" collapsed="false">
      <c r="A227" s="3" t="s">
        <v>464</v>
      </c>
      <c r="B227" s="3" t="s">
        <v>15</v>
      </c>
      <c r="C227" s="3" t="s">
        <v>16</v>
      </c>
      <c r="D227" s="3" t="s">
        <v>17</v>
      </c>
      <c r="E227" s="3" t="s">
        <v>18</v>
      </c>
      <c r="F227" s="3" t="s">
        <v>384</v>
      </c>
      <c r="G227" s="3" t="s">
        <v>41</v>
      </c>
      <c r="H227" s="3" t="s">
        <v>385</v>
      </c>
      <c r="I227" s="3"/>
      <c r="J227" s="4" t="n">
        <v>13.2</v>
      </c>
      <c r="K227" s="3"/>
      <c r="L227" s="3" t="s">
        <v>49</v>
      </c>
      <c r="M227" s="3" t="s">
        <v>84</v>
      </c>
      <c r="N227" s="3"/>
    </row>
    <row r="228" customFormat="false" ht="15" hidden="false" customHeight="true" outlineLevel="0" collapsed="false">
      <c r="A228" s="3" t="s">
        <v>465</v>
      </c>
      <c r="B228" s="3" t="s">
        <v>15</v>
      </c>
      <c r="C228" s="3" t="s">
        <v>16</v>
      </c>
      <c r="D228" s="3" t="s">
        <v>17</v>
      </c>
      <c r="E228" s="3" t="s">
        <v>410</v>
      </c>
      <c r="F228" s="3" t="s">
        <v>369</v>
      </c>
      <c r="G228" s="3" t="s">
        <v>41</v>
      </c>
      <c r="H228" s="3" t="s">
        <v>385</v>
      </c>
      <c r="I228" s="3"/>
      <c r="J228" s="4" t="n">
        <v>10.3</v>
      </c>
      <c r="K228" s="3" t="s">
        <v>435</v>
      </c>
      <c r="L228" s="3" t="s">
        <v>47</v>
      </c>
      <c r="M228" s="3" t="s">
        <v>84</v>
      </c>
      <c r="N228" s="3"/>
    </row>
    <row r="229" customFormat="false" ht="15" hidden="false" customHeight="true" outlineLevel="0" collapsed="false">
      <c r="A229" s="3" t="s">
        <v>466</v>
      </c>
      <c r="B229" s="3" t="s">
        <v>15</v>
      </c>
      <c r="C229" s="3" t="s">
        <v>16</v>
      </c>
      <c r="D229" s="3" t="s">
        <v>17</v>
      </c>
      <c r="E229" s="3" t="s">
        <v>18</v>
      </c>
      <c r="F229" s="3" t="s">
        <v>384</v>
      </c>
      <c r="G229" s="3" t="s">
        <v>41</v>
      </c>
      <c r="H229" s="3" t="s">
        <v>385</v>
      </c>
      <c r="I229" s="3"/>
      <c r="J229" s="4" t="n">
        <v>9.8</v>
      </c>
      <c r="K229" s="3"/>
      <c r="L229" s="3" t="s">
        <v>49</v>
      </c>
      <c r="M229" s="3" t="s">
        <v>84</v>
      </c>
      <c r="N229" s="3"/>
    </row>
    <row r="230" customFormat="false" ht="15" hidden="false" customHeight="true" outlineLevel="0" collapsed="false">
      <c r="A230" s="3" t="s">
        <v>467</v>
      </c>
      <c r="B230" s="3" t="s">
        <v>15</v>
      </c>
      <c r="C230" s="3" t="s">
        <v>16</v>
      </c>
      <c r="D230" s="3" t="s">
        <v>17</v>
      </c>
      <c r="E230" s="3" t="s">
        <v>410</v>
      </c>
      <c r="F230" s="3" t="s">
        <v>369</v>
      </c>
      <c r="G230" s="3" t="s">
        <v>41</v>
      </c>
      <c r="H230" s="3" t="s">
        <v>385</v>
      </c>
      <c r="I230" s="3"/>
      <c r="J230" s="4" t="n">
        <v>7.7</v>
      </c>
      <c r="K230" s="3" t="s">
        <v>468</v>
      </c>
      <c r="L230" s="3" t="s">
        <v>47</v>
      </c>
      <c r="M230" s="3" t="s">
        <v>84</v>
      </c>
      <c r="N230" s="3"/>
    </row>
    <row r="231" customFormat="false" ht="15" hidden="false" customHeight="true" outlineLevel="0" collapsed="false">
      <c r="A231" s="3" t="s">
        <v>469</v>
      </c>
      <c r="B231" s="3" t="s">
        <v>15</v>
      </c>
      <c r="C231" s="3" t="s">
        <v>16</v>
      </c>
      <c r="D231" s="3" t="s">
        <v>17</v>
      </c>
      <c r="E231" s="3" t="s">
        <v>18</v>
      </c>
      <c r="F231" s="3" t="s">
        <v>384</v>
      </c>
      <c r="G231" s="3" t="s">
        <v>41</v>
      </c>
      <c r="H231" s="3" t="s">
        <v>385</v>
      </c>
      <c r="I231" s="3"/>
      <c r="J231" s="4" t="n">
        <v>7.4</v>
      </c>
      <c r="K231" s="3"/>
      <c r="L231" s="3" t="s">
        <v>49</v>
      </c>
      <c r="M231" s="3" t="s">
        <v>84</v>
      </c>
      <c r="N231" s="3"/>
    </row>
    <row r="232" customFormat="false" ht="15" hidden="false" customHeight="true" outlineLevel="0" collapsed="false">
      <c r="A232" s="3" t="s">
        <v>470</v>
      </c>
      <c r="B232" s="3" t="s">
        <v>15</v>
      </c>
      <c r="C232" s="3" t="s">
        <v>16</v>
      </c>
      <c r="D232" s="3" t="s">
        <v>17</v>
      </c>
      <c r="E232" s="3" t="s">
        <v>18</v>
      </c>
      <c r="F232" s="3" t="s">
        <v>384</v>
      </c>
      <c r="G232" s="3" t="s">
        <v>41</v>
      </c>
      <c r="H232" s="3" t="s">
        <v>385</v>
      </c>
      <c r="I232" s="3"/>
      <c r="J232" s="4" t="n">
        <v>7.3</v>
      </c>
      <c r="K232" s="3" t="s">
        <v>471</v>
      </c>
      <c r="L232" s="3" t="s">
        <v>47</v>
      </c>
      <c r="M232" s="3" t="s">
        <v>84</v>
      </c>
      <c r="N232" s="3"/>
    </row>
    <row r="233" customFormat="false" ht="15" hidden="false" customHeight="true" outlineLevel="0" collapsed="false">
      <c r="A233" s="3" t="s">
        <v>472</v>
      </c>
      <c r="B233" s="3" t="s">
        <v>15</v>
      </c>
      <c r="C233" s="3" t="s">
        <v>16</v>
      </c>
      <c r="D233" s="3" t="s">
        <v>17</v>
      </c>
      <c r="E233" s="3" t="s">
        <v>393</v>
      </c>
      <c r="F233" s="3" t="s">
        <v>398</v>
      </c>
      <c r="G233" s="3" t="s">
        <v>41</v>
      </c>
      <c r="H233" s="3" t="s">
        <v>385</v>
      </c>
      <c r="I233" s="3"/>
      <c r="J233" s="4" t="n">
        <v>4.5</v>
      </c>
      <c r="K233" s="3" t="s">
        <v>473</v>
      </c>
      <c r="L233" s="3" t="s">
        <v>47</v>
      </c>
      <c r="M233" s="3" t="s">
        <v>84</v>
      </c>
      <c r="N233" s="3"/>
    </row>
    <row r="234" customFormat="false" ht="15" hidden="false" customHeight="true" outlineLevel="0" collapsed="false">
      <c r="A234" s="3" t="s">
        <v>474</v>
      </c>
      <c r="B234" s="3" t="s">
        <v>15</v>
      </c>
      <c r="C234" s="3" t="s">
        <v>16</v>
      </c>
      <c r="D234" s="3" t="s">
        <v>17</v>
      </c>
      <c r="E234" s="3" t="s">
        <v>393</v>
      </c>
      <c r="F234" s="3" t="s">
        <v>398</v>
      </c>
      <c r="G234" s="3" t="s">
        <v>41</v>
      </c>
      <c r="H234" s="3" t="s">
        <v>385</v>
      </c>
      <c r="I234" s="3"/>
      <c r="J234" s="4" t="n">
        <v>4.2</v>
      </c>
      <c r="K234" s="3" t="s">
        <v>399</v>
      </c>
      <c r="L234" s="3" t="s">
        <v>47</v>
      </c>
      <c r="M234" s="3" t="s">
        <v>84</v>
      </c>
      <c r="N234" s="3"/>
    </row>
    <row r="235" customFormat="false" ht="15" hidden="false" customHeight="true" outlineLevel="0" collapsed="false">
      <c r="A235" s="3" t="s">
        <v>475</v>
      </c>
      <c r="B235" s="3" t="s">
        <v>15</v>
      </c>
      <c r="C235" s="3" t="s">
        <v>16</v>
      </c>
      <c r="D235" s="3" t="s">
        <v>17</v>
      </c>
      <c r="E235" s="3" t="s">
        <v>410</v>
      </c>
      <c r="F235" s="3" t="s">
        <v>369</v>
      </c>
      <c r="G235" s="3" t="s">
        <v>41</v>
      </c>
      <c r="H235" s="3" t="s">
        <v>385</v>
      </c>
      <c r="I235" s="3"/>
      <c r="J235" s="4" t="n">
        <v>3</v>
      </c>
      <c r="K235" s="3" t="s">
        <v>476</v>
      </c>
      <c r="L235" s="3" t="s">
        <v>47</v>
      </c>
      <c r="M235" s="3" t="s">
        <v>84</v>
      </c>
      <c r="N235" s="3"/>
    </row>
    <row r="236" customFormat="false" ht="15" hidden="false" customHeight="true" outlineLevel="0" collapsed="false">
      <c r="A236" s="3" t="s">
        <v>477</v>
      </c>
      <c r="B236" s="3" t="s">
        <v>15</v>
      </c>
      <c r="C236" s="3" t="s">
        <v>16</v>
      </c>
      <c r="D236" s="3" t="s">
        <v>17</v>
      </c>
      <c r="E236" s="3" t="s">
        <v>18</v>
      </c>
      <c r="F236" s="3" t="s">
        <v>384</v>
      </c>
      <c r="G236" s="3" t="s">
        <v>41</v>
      </c>
      <c r="H236" s="3" t="s">
        <v>385</v>
      </c>
      <c r="I236" s="3"/>
      <c r="J236" s="4" t="n">
        <v>2.9</v>
      </c>
      <c r="K236" s="3"/>
      <c r="L236" s="3" t="s">
        <v>49</v>
      </c>
      <c r="M236" s="3" t="s">
        <v>84</v>
      </c>
      <c r="N236" s="3"/>
    </row>
    <row r="237" customFormat="false" ht="15" hidden="false" customHeight="true" outlineLevel="0" collapsed="false">
      <c r="A237" s="3" t="s">
        <v>478</v>
      </c>
      <c r="B237" s="3" t="s">
        <v>15</v>
      </c>
      <c r="C237" s="3" t="s">
        <v>16</v>
      </c>
      <c r="D237" s="3" t="s">
        <v>17</v>
      </c>
      <c r="E237" s="3" t="s">
        <v>410</v>
      </c>
      <c r="F237" s="3" t="s">
        <v>369</v>
      </c>
      <c r="G237" s="3" t="s">
        <v>41</v>
      </c>
      <c r="H237" s="3" t="s">
        <v>385</v>
      </c>
      <c r="I237" s="3"/>
      <c r="J237" s="4" t="n">
        <v>2.8</v>
      </c>
      <c r="K237" s="3"/>
      <c r="L237" s="3" t="s">
        <v>49</v>
      </c>
      <c r="M237" s="3" t="s">
        <v>84</v>
      </c>
      <c r="N237" s="3"/>
    </row>
    <row r="238" customFormat="false" ht="15" hidden="false" customHeight="true" outlineLevel="0" collapsed="false">
      <c r="A238" s="3" t="s">
        <v>479</v>
      </c>
      <c r="B238" s="3" t="s">
        <v>15</v>
      </c>
      <c r="C238" s="3" t="s">
        <v>16</v>
      </c>
      <c r="D238" s="3" t="s">
        <v>17</v>
      </c>
      <c r="E238" s="3" t="s">
        <v>393</v>
      </c>
      <c r="F238" s="3" t="s">
        <v>398</v>
      </c>
      <c r="G238" s="3" t="s">
        <v>41</v>
      </c>
      <c r="H238" s="3" t="s">
        <v>385</v>
      </c>
      <c r="I238" s="3"/>
      <c r="J238" s="4" t="n">
        <v>1.5</v>
      </c>
      <c r="K238" s="3" t="s">
        <v>480</v>
      </c>
      <c r="L238" s="3" t="s">
        <v>47</v>
      </c>
      <c r="M238" s="3" t="s">
        <v>84</v>
      </c>
      <c r="N238" s="3"/>
    </row>
    <row r="239" customFormat="false" ht="15" hidden="false" customHeight="true" outlineLevel="0" collapsed="false">
      <c r="A239" s="3" t="s">
        <v>481</v>
      </c>
      <c r="B239" s="3" t="s">
        <v>15</v>
      </c>
      <c r="C239" s="3" t="s">
        <v>16</v>
      </c>
      <c r="D239" s="3" t="s">
        <v>17</v>
      </c>
      <c r="E239" s="3" t="s">
        <v>18</v>
      </c>
      <c r="F239" s="3" t="s">
        <v>384</v>
      </c>
      <c r="G239" s="3" t="s">
        <v>41</v>
      </c>
      <c r="H239" s="3" t="s">
        <v>385</v>
      </c>
      <c r="I239" s="3"/>
      <c r="J239" s="4" t="n">
        <v>0.8</v>
      </c>
      <c r="K239" s="3"/>
      <c r="L239" s="3" t="s">
        <v>49</v>
      </c>
      <c r="M239" s="3" t="s">
        <v>84</v>
      </c>
      <c r="N239" s="3"/>
    </row>
    <row r="240" customFormat="false" ht="15" hidden="false" customHeight="true" outlineLevel="0" collapsed="false">
      <c r="A240" s="3" t="s">
        <v>482</v>
      </c>
      <c r="B240" s="3" t="s">
        <v>15</v>
      </c>
      <c r="C240" s="3" t="s">
        <v>16</v>
      </c>
      <c r="D240" s="3" t="s">
        <v>17</v>
      </c>
      <c r="E240" s="3" t="s">
        <v>393</v>
      </c>
      <c r="F240" s="3" t="s">
        <v>398</v>
      </c>
      <c r="G240" s="3" t="s">
        <v>41</v>
      </c>
      <c r="H240" s="3" t="s">
        <v>385</v>
      </c>
      <c r="I240" s="3"/>
      <c r="J240" s="4" t="n">
        <v>0.2</v>
      </c>
      <c r="K240" s="3"/>
      <c r="L240" s="3" t="s">
        <v>49</v>
      </c>
      <c r="M240" s="3" t="s">
        <v>84</v>
      </c>
      <c r="N240" s="3"/>
    </row>
    <row r="241" customFormat="false" ht="15" hidden="false" customHeight="true" outlineLevel="0" collapsed="false">
      <c r="A241" s="3" t="s">
        <v>483</v>
      </c>
      <c r="B241" s="3" t="s">
        <v>15</v>
      </c>
      <c r="C241" s="3" t="s">
        <v>16</v>
      </c>
      <c r="D241" s="3" t="s">
        <v>17</v>
      </c>
      <c r="E241" s="3" t="s">
        <v>388</v>
      </c>
      <c r="F241" s="3" t="s">
        <v>369</v>
      </c>
      <c r="G241" s="3" t="s">
        <v>41</v>
      </c>
      <c r="H241" s="3" t="s">
        <v>385</v>
      </c>
      <c r="I241" s="3"/>
      <c r="J241" s="4"/>
      <c r="K241" s="3" t="s">
        <v>484</v>
      </c>
      <c r="L241" s="3" t="s">
        <v>47</v>
      </c>
      <c r="M241" s="3" t="s">
        <v>84</v>
      </c>
      <c r="N241" s="3"/>
    </row>
    <row r="242" customFormat="false" ht="15" hidden="false" customHeight="true" outlineLevel="0" collapsed="false">
      <c r="A242" s="3" t="s">
        <v>485</v>
      </c>
      <c r="B242" s="3" t="s">
        <v>15</v>
      </c>
      <c r="C242" s="3" t="s">
        <v>16</v>
      </c>
      <c r="D242" s="3" t="s">
        <v>17</v>
      </c>
      <c r="E242" s="3" t="s">
        <v>388</v>
      </c>
      <c r="F242" s="3" t="s">
        <v>389</v>
      </c>
      <c r="G242" s="3" t="s">
        <v>41</v>
      </c>
      <c r="H242" s="3" t="s">
        <v>385</v>
      </c>
      <c r="I242" s="3"/>
      <c r="J242" s="4"/>
      <c r="K242" s="3" t="s">
        <v>486</v>
      </c>
      <c r="L242" s="3" t="s">
        <v>47</v>
      </c>
      <c r="M242" s="3" t="s">
        <v>391</v>
      </c>
      <c r="N242" s="3"/>
    </row>
    <row r="243" customFormat="false" ht="15" hidden="false" customHeight="true" outlineLevel="0" collapsed="false">
      <c r="A243" s="3" t="s">
        <v>487</v>
      </c>
      <c r="B243" s="3" t="s">
        <v>15</v>
      </c>
      <c r="C243" s="3" t="s">
        <v>16</v>
      </c>
      <c r="D243" s="3" t="s">
        <v>17</v>
      </c>
      <c r="E243" s="3" t="s">
        <v>388</v>
      </c>
      <c r="F243" s="3" t="s">
        <v>389</v>
      </c>
      <c r="G243" s="3" t="s">
        <v>41</v>
      </c>
      <c r="H243" s="3" t="s">
        <v>385</v>
      </c>
      <c r="I243" s="3"/>
      <c r="J243" s="4"/>
      <c r="K243" s="3"/>
      <c r="L243" s="3" t="s">
        <v>49</v>
      </c>
      <c r="M243" s="3" t="s">
        <v>391</v>
      </c>
      <c r="N243" s="3"/>
    </row>
    <row r="244" customFormat="false" ht="15" hidden="false" customHeight="true" outlineLevel="0" collapsed="false">
      <c r="A244" s="3" t="s">
        <v>488</v>
      </c>
      <c r="B244" s="3" t="s">
        <v>15</v>
      </c>
      <c r="C244" s="3" t="s">
        <v>16</v>
      </c>
      <c r="D244" s="3" t="s">
        <v>17</v>
      </c>
      <c r="E244" s="3" t="s">
        <v>393</v>
      </c>
      <c r="F244" s="3" t="s">
        <v>398</v>
      </c>
      <c r="G244" s="3" t="s">
        <v>41</v>
      </c>
      <c r="H244" s="3" t="s">
        <v>385</v>
      </c>
      <c r="I244" s="3"/>
      <c r="J244" s="4"/>
      <c r="K244" s="3"/>
      <c r="L244" s="3" t="s">
        <v>49</v>
      </c>
      <c r="M244" s="3" t="s">
        <v>84</v>
      </c>
      <c r="N244" s="3"/>
    </row>
    <row r="245" customFormat="false" ht="15" hidden="false" customHeight="true" outlineLevel="0" collapsed="false">
      <c r="A245" s="3" t="s">
        <v>489</v>
      </c>
      <c r="B245" s="3" t="s">
        <v>15</v>
      </c>
      <c r="C245" s="3" t="s">
        <v>16</v>
      </c>
      <c r="D245" s="3" t="s">
        <v>17</v>
      </c>
      <c r="E245" s="3" t="s">
        <v>410</v>
      </c>
      <c r="F245" s="3" t="s">
        <v>369</v>
      </c>
      <c r="G245" s="3" t="s">
        <v>41</v>
      </c>
      <c r="H245" s="3" t="s">
        <v>385</v>
      </c>
      <c r="I245" s="3"/>
      <c r="J245" s="4"/>
      <c r="K245" s="3"/>
      <c r="L245" s="3" t="s">
        <v>49</v>
      </c>
      <c r="M245" s="3" t="s">
        <v>84</v>
      </c>
      <c r="N245" s="3"/>
    </row>
    <row r="246" customFormat="false" ht="15" hidden="false" customHeight="true" outlineLevel="0" collapsed="false">
      <c r="A246" s="3" t="s">
        <v>490</v>
      </c>
      <c r="B246" s="3" t="s">
        <v>15</v>
      </c>
      <c r="C246" s="3" t="s">
        <v>16</v>
      </c>
      <c r="D246" s="3" t="s">
        <v>17</v>
      </c>
      <c r="E246" s="3" t="s">
        <v>410</v>
      </c>
      <c r="F246" s="3" t="s">
        <v>369</v>
      </c>
      <c r="G246" s="3" t="s">
        <v>41</v>
      </c>
      <c r="H246" s="3" t="s">
        <v>385</v>
      </c>
      <c r="I246" s="3"/>
      <c r="J246" s="4"/>
      <c r="K246" s="3" t="s">
        <v>420</v>
      </c>
      <c r="L246" s="3" t="s">
        <v>22</v>
      </c>
      <c r="M246" s="3" t="s">
        <v>84</v>
      </c>
      <c r="N246" s="3"/>
    </row>
    <row r="247" customFormat="false" ht="15" hidden="false" customHeight="true" outlineLevel="0" collapsed="false">
      <c r="A247" s="3" t="s">
        <v>491</v>
      </c>
      <c r="B247" s="3" t="s">
        <v>15</v>
      </c>
      <c r="C247" s="3" t="s">
        <v>16</v>
      </c>
      <c r="D247" s="3" t="s">
        <v>17</v>
      </c>
      <c r="E247" s="3" t="s">
        <v>393</v>
      </c>
      <c r="F247" s="3" t="s">
        <v>86</v>
      </c>
      <c r="G247" s="3" t="s">
        <v>41</v>
      </c>
      <c r="H247" s="3" t="s">
        <v>385</v>
      </c>
      <c r="I247" s="3"/>
      <c r="J247" s="4"/>
      <c r="K247" s="3"/>
      <c r="L247" s="3" t="s">
        <v>49</v>
      </c>
      <c r="M247" s="3" t="s">
        <v>84</v>
      </c>
      <c r="N247" s="3"/>
    </row>
    <row r="248" customFormat="false" ht="15" hidden="false" customHeight="true" outlineLevel="0" collapsed="false">
      <c r="A248" s="3" t="s">
        <v>492</v>
      </c>
      <c r="B248" s="3" t="s">
        <v>15</v>
      </c>
      <c r="C248" s="3" t="s">
        <v>16</v>
      </c>
      <c r="D248" s="3" t="s">
        <v>17</v>
      </c>
      <c r="E248" s="3" t="s">
        <v>393</v>
      </c>
      <c r="F248" s="3" t="s">
        <v>86</v>
      </c>
      <c r="G248" s="3" t="s">
        <v>41</v>
      </c>
      <c r="H248" s="3" t="s">
        <v>385</v>
      </c>
      <c r="I248" s="3"/>
      <c r="J248" s="4"/>
      <c r="K248" s="3"/>
      <c r="L248" s="3" t="s">
        <v>49</v>
      </c>
      <c r="M248" s="3" t="s">
        <v>84</v>
      </c>
      <c r="N248" s="3"/>
    </row>
    <row r="249" customFormat="false" ht="15" hidden="false" customHeight="true" outlineLevel="0" collapsed="false">
      <c r="A249" s="3" t="s">
        <v>493</v>
      </c>
      <c r="B249" s="3" t="s">
        <v>494</v>
      </c>
      <c r="C249" s="3" t="s">
        <v>495</v>
      </c>
      <c r="D249" s="3" t="s">
        <v>496</v>
      </c>
      <c r="E249" s="3" t="s">
        <v>497</v>
      </c>
      <c r="F249" s="3" t="s">
        <v>197</v>
      </c>
      <c r="G249" s="3" t="s">
        <v>41</v>
      </c>
      <c r="H249" s="3" t="s">
        <v>42</v>
      </c>
      <c r="I249" s="3"/>
      <c r="J249" s="4" t="n">
        <v>155467.8</v>
      </c>
      <c r="K249" s="3" t="s">
        <v>498</v>
      </c>
      <c r="L249" s="3" t="s">
        <v>47</v>
      </c>
      <c r="M249" s="3" t="s">
        <v>499</v>
      </c>
      <c r="N249" s="3"/>
    </row>
    <row r="250" customFormat="false" ht="15" hidden="false" customHeight="true" outlineLevel="0" collapsed="false">
      <c r="A250" s="3" t="s">
        <v>500</v>
      </c>
      <c r="B250" s="3" t="s">
        <v>494</v>
      </c>
      <c r="C250" s="3" t="s">
        <v>495</v>
      </c>
      <c r="D250" s="3" t="s">
        <v>496</v>
      </c>
      <c r="E250" s="3" t="s">
        <v>501</v>
      </c>
      <c r="F250" s="3" t="s">
        <v>197</v>
      </c>
      <c r="G250" s="3" t="s">
        <v>41</v>
      </c>
      <c r="H250" s="3" t="s">
        <v>42</v>
      </c>
      <c r="I250" s="3"/>
      <c r="J250" s="4" t="n">
        <v>15634.9</v>
      </c>
      <c r="K250" s="3"/>
      <c r="L250" s="3" t="s">
        <v>49</v>
      </c>
      <c r="M250" s="3" t="s">
        <v>502</v>
      </c>
      <c r="N250" s="3"/>
    </row>
    <row r="251" customFormat="false" ht="15" hidden="false" customHeight="true" outlineLevel="0" collapsed="false">
      <c r="A251" s="3" t="s">
        <v>503</v>
      </c>
      <c r="B251" s="3" t="s">
        <v>494</v>
      </c>
      <c r="C251" s="3" t="s">
        <v>495</v>
      </c>
      <c r="D251" s="3" t="s">
        <v>496</v>
      </c>
      <c r="E251" s="3" t="s">
        <v>497</v>
      </c>
      <c r="F251" s="3" t="s">
        <v>197</v>
      </c>
      <c r="G251" s="3" t="s">
        <v>41</v>
      </c>
      <c r="H251" s="3" t="s">
        <v>42</v>
      </c>
      <c r="I251" s="3"/>
      <c r="J251" s="4" t="n">
        <v>9350.4</v>
      </c>
      <c r="K251" s="3" t="s">
        <v>504</v>
      </c>
      <c r="L251" s="3" t="s">
        <v>47</v>
      </c>
      <c r="M251" s="3" t="s">
        <v>499</v>
      </c>
      <c r="N251" s="3"/>
    </row>
    <row r="252" customFormat="false" ht="15" hidden="false" customHeight="true" outlineLevel="0" collapsed="false">
      <c r="A252" s="3" t="s">
        <v>505</v>
      </c>
      <c r="B252" s="3" t="s">
        <v>494</v>
      </c>
      <c r="C252" s="3" t="s">
        <v>495</v>
      </c>
      <c r="D252" s="3" t="s">
        <v>496</v>
      </c>
      <c r="E252" s="3" t="s">
        <v>506</v>
      </c>
      <c r="F252" s="3" t="s">
        <v>197</v>
      </c>
      <c r="G252" s="3" t="s">
        <v>41</v>
      </c>
      <c r="H252" s="3" t="s">
        <v>42</v>
      </c>
      <c r="I252" s="3"/>
      <c r="J252" s="4" t="n">
        <v>1669.1</v>
      </c>
      <c r="K252" s="3" t="s">
        <v>507</v>
      </c>
      <c r="L252" s="3" t="s">
        <v>47</v>
      </c>
      <c r="M252" s="3" t="s">
        <v>508</v>
      </c>
      <c r="N252" s="3"/>
    </row>
    <row r="253" customFormat="false" ht="15" hidden="false" customHeight="true" outlineLevel="0" collapsed="false">
      <c r="A253" s="3" t="s">
        <v>509</v>
      </c>
      <c r="B253" s="3" t="s">
        <v>494</v>
      </c>
      <c r="C253" s="3" t="s">
        <v>495</v>
      </c>
      <c r="D253" s="3" t="s">
        <v>496</v>
      </c>
      <c r="E253" s="3" t="s">
        <v>510</v>
      </c>
      <c r="F253" s="3" t="s">
        <v>197</v>
      </c>
      <c r="G253" s="3" t="s">
        <v>41</v>
      </c>
      <c r="H253" s="3" t="s">
        <v>42</v>
      </c>
      <c r="I253" s="3"/>
      <c r="J253" s="4" t="n">
        <v>977.1</v>
      </c>
      <c r="K253" s="3" t="s">
        <v>511</v>
      </c>
      <c r="L253" s="3" t="s">
        <v>245</v>
      </c>
      <c r="M253" s="3" t="s">
        <v>502</v>
      </c>
      <c r="N253" s="3"/>
    </row>
    <row r="254" customFormat="false" ht="15" hidden="false" customHeight="true" outlineLevel="0" collapsed="false">
      <c r="A254" s="3" t="s">
        <v>512</v>
      </c>
      <c r="B254" s="3" t="s">
        <v>494</v>
      </c>
      <c r="C254" s="3" t="s">
        <v>495</v>
      </c>
      <c r="D254" s="3" t="s">
        <v>496</v>
      </c>
      <c r="E254" s="3" t="s">
        <v>501</v>
      </c>
      <c r="F254" s="3" t="s">
        <v>197</v>
      </c>
      <c r="G254" s="3" t="s">
        <v>41</v>
      </c>
      <c r="H254" s="3" t="s">
        <v>42</v>
      </c>
      <c r="I254" s="3"/>
      <c r="J254" s="4"/>
      <c r="K254" s="3" t="s">
        <v>498</v>
      </c>
      <c r="L254" s="3" t="s">
        <v>142</v>
      </c>
      <c r="M254" s="3" t="s">
        <v>502</v>
      </c>
      <c r="N254" s="3"/>
    </row>
    <row r="255" customFormat="false" ht="15" hidden="false" customHeight="true" outlineLevel="0" collapsed="false">
      <c r="A255" s="3" t="s">
        <v>513</v>
      </c>
      <c r="B255" s="3" t="s">
        <v>494</v>
      </c>
      <c r="C255" s="3" t="s">
        <v>495</v>
      </c>
      <c r="D255" s="3" t="s">
        <v>496</v>
      </c>
      <c r="E255" s="3" t="s">
        <v>514</v>
      </c>
      <c r="F255" s="3" t="s">
        <v>197</v>
      </c>
      <c r="G255" s="3" t="s">
        <v>41</v>
      </c>
      <c r="H255" s="3" t="s">
        <v>42</v>
      </c>
      <c r="I255" s="3"/>
      <c r="J255" s="4"/>
      <c r="K255" s="3" t="s">
        <v>498</v>
      </c>
      <c r="L255" s="3" t="s">
        <v>142</v>
      </c>
      <c r="M255" s="3" t="s">
        <v>502</v>
      </c>
      <c r="N255" s="3"/>
    </row>
    <row r="256" customFormat="false" ht="15" hidden="false" customHeight="true" outlineLevel="0" collapsed="false">
      <c r="A256" s="3" t="s">
        <v>515</v>
      </c>
      <c r="B256" s="3" t="s">
        <v>494</v>
      </c>
      <c r="C256" s="3" t="s">
        <v>495</v>
      </c>
      <c r="D256" s="3" t="s">
        <v>496</v>
      </c>
      <c r="E256" s="3" t="s">
        <v>514</v>
      </c>
      <c r="F256" s="3" t="s">
        <v>197</v>
      </c>
      <c r="G256" s="3" t="s">
        <v>41</v>
      </c>
      <c r="H256" s="3" t="s">
        <v>42</v>
      </c>
      <c r="I256" s="3"/>
      <c r="J256" s="4"/>
      <c r="K256" s="3" t="s">
        <v>498</v>
      </c>
      <c r="L256" s="3" t="s">
        <v>142</v>
      </c>
      <c r="M256" s="3" t="s">
        <v>502</v>
      </c>
      <c r="N256" s="3"/>
    </row>
    <row r="257" customFormat="false" ht="15" hidden="false" customHeight="true" outlineLevel="0" collapsed="false">
      <c r="A257" s="3" t="s">
        <v>516</v>
      </c>
      <c r="B257" s="3" t="s">
        <v>517</v>
      </c>
      <c r="C257" s="3" t="s">
        <v>495</v>
      </c>
      <c r="D257" s="3" t="s">
        <v>518</v>
      </c>
      <c r="E257" s="3" t="s">
        <v>519</v>
      </c>
      <c r="F257" s="3" t="s">
        <v>197</v>
      </c>
      <c r="G257" s="3" t="s">
        <v>41</v>
      </c>
      <c r="H257" s="3" t="s">
        <v>42</v>
      </c>
      <c r="I257" s="3"/>
      <c r="J257" s="4"/>
      <c r="K257" s="3" t="s">
        <v>520</v>
      </c>
      <c r="L257" s="3" t="s">
        <v>142</v>
      </c>
      <c r="M257" s="3" t="s">
        <v>521</v>
      </c>
      <c r="N257" s="3"/>
    </row>
    <row r="258" customFormat="false" ht="15" hidden="false" customHeight="true" outlineLevel="0" collapsed="false">
      <c r="A258" s="3" t="s">
        <v>522</v>
      </c>
      <c r="B258" s="3" t="s">
        <v>494</v>
      </c>
      <c r="C258" s="3" t="s">
        <v>495</v>
      </c>
      <c r="D258" s="3" t="s">
        <v>496</v>
      </c>
      <c r="E258" s="3" t="s">
        <v>501</v>
      </c>
      <c r="F258" s="3" t="s">
        <v>197</v>
      </c>
      <c r="G258" s="3" t="s">
        <v>41</v>
      </c>
      <c r="H258" s="3" t="s">
        <v>42</v>
      </c>
      <c r="I258" s="3"/>
      <c r="J258" s="4"/>
      <c r="K258" s="3" t="s">
        <v>498</v>
      </c>
      <c r="L258" s="3" t="s">
        <v>142</v>
      </c>
      <c r="M258" s="3" t="s">
        <v>502</v>
      </c>
      <c r="N258" s="3"/>
    </row>
    <row r="259" customFormat="false" ht="15" hidden="false" customHeight="true" outlineLevel="0" collapsed="false">
      <c r="A259" s="3" t="s">
        <v>523</v>
      </c>
      <c r="B259" s="3" t="s">
        <v>494</v>
      </c>
      <c r="C259" s="3" t="s">
        <v>495</v>
      </c>
      <c r="D259" s="3" t="s">
        <v>496</v>
      </c>
      <c r="E259" s="3" t="s">
        <v>501</v>
      </c>
      <c r="F259" s="3" t="s">
        <v>197</v>
      </c>
      <c r="G259" s="3" t="s">
        <v>41</v>
      </c>
      <c r="H259" s="3" t="s">
        <v>42</v>
      </c>
      <c r="I259" s="3"/>
      <c r="J259" s="4"/>
      <c r="K259" s="3" t="s">
        <v>498</v>
      </c>
      <c r="L259" s="3" t="s">
        <v>142</v>
      </c>
      <c r="M259" s="3" t="s">
        <v>502</v>
      </c>
      <c r="N259" s="3"/>
    </row>
    <row r="260" customFormat="false" ht="15" hidden="false" customHeight="true" outlineLevel="0" collapsed="false">
      <c r="A260" s="3" t="s">
        <v>524</v>
      </c>
      <c r="B260" s="3" t="s">
        <v>494</v>
      </c>
      <c r="C260" s="3" t="s">
        <v>495</v>
      </c>
      <c r="D260" s="3" t="s">
        <v>496</v>
      </c>
      <c r="E260" s="3" t="s">
        <v>501</v>
      </c>
      <c r="F260" s="3" t="s">
        <v>197</v>
      </c>
      <c r="G260" s="3" t="s">
        <v>41</v>
      </c>
      <c r="H260" s="3" t="s">
        <v>42</v>
      </c>
      <c r="I260" s="3"/>
      <c r="J260" s="4"/>
      <c r="K260" s="3" t="s">
        <v>498</v>
      </c>
      <c r="L260" s="3" t="s">
        <v>142</v>
      </c>
      <c r="M260" s="3" t="s">
        <v>502</v>
      </c>
      <c r="N260" s="3"/>
    </row>
    <row r="261" customFormat="false" ht="15" hidden="false" customHeight="true" outlineLevel="0" collapsed="false">
      <c r="A261" s="3" t="s">
        <v>525</v>
      </c>
      <c r="B261" s="3" t="s">
        <v>494</v>
      </c>
      <c r="C261" s="3" t="s">
        <v>495</v>
      </c>
      <c r="D261" s="3" t="s">
        <v>496</v>
      </c>
      <c r="E261" s="3" t="s">
        <v>501</v>
      </c>
      <c r="F261" s="3" t="s">
        <v>197</v>
      </c>
      <c r="G261" s="3" t="s">
        <v>41</v>
      </c>
      <c r="H261" s="3" t="s">
        <v>42</v>
      </c>
      <c r="I261" s="3"/>
      <c r="J261" s="4"/>
      <c r="K261" s="3" t="s">
        <v>498</v>
      </c>
      <c r="L261" s="3" t="s">
        <v>142</v>
      </c>
      <c r="M261" s="3" t="s">
        <v>502</v>
      </c>
      <c r="N261" s="3"/>
    </row>
    <row r="262" customFormat="false" ht="15" hidden="false" customHeight="true" outlineLevel="0" collapsed="false">
      <c r="A262" s="3" t="s">
        <v>526</v>
      </c>
      <c r="B262" s="3" t="s">
        <v>494</v>
      </c>
      <c r="C262" s="3" t="s">
        <v>495</v>
      </c>
      <c r="D262" s="3" t="s">
        <v>496</v>
      </c>
      <c r="E262" s="3" t="s">
        <v>501</v>
      </c>
      <c r="F262" s="3" t="s">
        <v>197</v>
      </c>
      <c r="G262" s="3" t="s">
        <v>41</v>
      </c>
      <c r="H262" s="3" t="s">
        <v>42</v>
      </c>
      <c r="I262" s="3"/>
      <c r="J262" s="4"/>
      <c r="K262" s="3" t="s">
        <v>498</v>
      </c>
      <c r="L262" s="3" t="s">
        <v>142</v>
      </c>
      <c r="M262" s="3" t="s">
        <v>502</v>
      </c>
      <c r="N262" s="3"/>
    </row>
    <row r="263" customFormat="false" ht="15" hidden="false" customHeight="true" outlineLevel="0" collapsed="false">
      <c r="A263" s="3" t="s">
        <v>527</v>
      </c>
      <c r="B263" s="3" t="s">
        <v>494</v>
      </c>
      <c r="C263" s="3" t="s">
        <v>495</v>
      </c>
      <c r="D263" s="3" t="s">
        <v>496</v>
      </c>
      <c r="E263" s="3" t="s">
        <v>501</v>
      </c>
      <c r="F263" s="3" t="s">
        <v>197</v>
      </c>
      <c r="G263" s="3" t="s">
        <v>41</v>
      </c>
      <c r="H263" s="3" t="s">
        <v>42</v>
      </c>
      <c r="I263" s="3"/>
      <c r="J263" s="4"/>
      <c r="K263" s="3" t="s">
        <v>498</v>
      </c>
      <c r="L263" s="3" t="s">
        <v>142</v>
      </c>
      <c r="M263" s="3" t="s">
        <v>502</v>
      </c>
      <c r="N263" s="3"/>
    </row>
    <row r="264" customFormat="false" ht="15" hidden="false" customHeight="true" outlineLevel="0" collapsed="false">
      <c r="A264" s="3" t="s">
        <v>528</v>
      </c>
      <c r="B264" s="3" t="s">
        <v>529</v>
      </c>
      <c r="C264" s="3" t="s">
        <v>495</v>
      </c>
      <c r="D264" s="3" t="s">
        <v>530</v>
      </c>
      <c r="E264" s="3" t="s">
        <v>528</v>
      </c>
      <c r="F264" s="3" t="s">
        <v>531</v>
      </c>
      <c r="G264" s="3" t="s">
        <v>532</v>
      </c>
      <c r="H264" s="3"/>
      <c r="I264" s="3"/>
      <c r="J264" s="4" t="n">
        <v>17877</v>
      </c>
      <c r="K264" s="3"/>
      <c r="L264" s="3" t="s">
        <v>49</v>
      </c>
      <c r="M264" s="3" t="s">
        <v>533</v>
      </c>
      <c r="N264" s="3"/>
    </row>
    <row r="265" customFormat="false" ht="15" hidden="false" customHeight="true" outlineLevel="0" collapsed="false">
      <c r="A265" s="3" t="s">
        <v>534</v>
      </c>
      <c r="B265" s="3" t="s">
        <v>529</v>
      </c>
      <c r="C265" s="3" t="s">
        <v>495</v>
      </c>
      <c r="D265" s="3" t="s">
        <v>530</v>
      </c>
      <c r="E265" s="3" t="s">
        <v>535</v>
      </c>
      <c r="F265" s="3" t="s">
        <v>531</v>
      </c>
      <c r="G265" s="3" t="s">
        <v>532</v>
      </c>
      <c r="H265" s="3"/>
      <c r="I265" s="3"/>
      <c r="J265" s="4" t="n">
        <v>10846.5</v>
      </c>
      <c r="K265" s="3" t="s">
        <v>536</v>
      </c>
      <c r="L265" s="3" t="s">
        <v>47</v>
      </c>
      <c r="M265" s="3" t="s">
        <v>533</v>
      </c>
      <c r="N265" s="3"/>
    </row>
    <row r="266" customFormat="false" ht="15" hidden="false" customHeight="true" outlineLevel="0" collapsed="false">
      <c r="A266" s="3" t="s">
        <v>537</v>
      </c>
      <c r="B266" s="3" t="s">
        <v>529</v>
      </c>
      <c r="C266" s="3" t="s">
        <v>495</v>
      </c>
      <c r="D266" s="3" t="s">
        <v>530</v>
      </c>
      <c r="E266" s="3" t="s">
        <v>538</v>
      </c>
      <c r="F266" s="3" t="s">
        <v>531</v>
      </c>
      <c r="G266" s="3" t="s">
        <v>532</v>
      </c>
      <c r="H266" s="3"/>
      <c r="I266" s="3"/>
      <c r="J266" s="4" t="n">
        <v>6652.2</v>
      </c>
      <c r="K266" s="3" t="s">
        <v>539</v>
      </c>
      <c r="L266" s="3" t="s">
        <v>47</v>
      </c>
      <c r="M266" s="3" t="s">
        <v>533</v>
      </c>
      <c r="N266" s="3"/>
    </row>
    <row r="267" customFormat="false" ht="15" hidden="false" customHeight="true" outlineLevel="0" collapsed="false">
      <c r="A267" s="3" t="s">
        <v>540</v>
      </c>
      <c r="B267" s="3" t="s">
        <v>529</v>
      </c>
      <c r="C267" s="3" t="s">
        <v>495</v>
      </c>
      <c r="D267" s="3" t="s">
        <v>530</v>
      </c>
      <c r="E267" s="3" t="s">
        <v>541</v>
      </c>
      <c r="F267" s="3" t="s">
        <v>531</v>
      </c>
      <c r="G267" s="3" t="s">
        <v>532</v>
      </c>
      <c r="H267" s="3"/>
      <c r="I267" s="3"/>
      <c r="J267" s="4" t="n">
        <v>2025.5</v>
      </c>
      <c r="K267" s="3" t="s">
        <v>542</v>
      </c>
      <c r="L267" s="3" t="s">
        <v>47</v>
      </c>
      <c r="M267" s="3" t="s">
        <v>533</v>
      </c>
      <c r="N267" s="3"/>
    </row>
    <row r="268" customFormat="false" ht="15" hidden="false" customHeight="true" outlineLevel="0" collapsed="false">
      <c r="A268" s="3" t="s">
        <v>543</v>
      </c>
      <c r="B268" s="3" t="s">
        <v>529</v>
      </c>
      <c r="C268" s="3" t="s">
        <v>495</v>
      </c>
      <c r="D268" s="3" t="s">
        <v>530</v>
      </c>
      <c r="E268" s="3" t="s">
        <v>544</v>
      </c>
      <c r="F268" s="3" t="s">
        <v>531</v>
      </c>
      <c r="G268" s="3" t="s">
        <v>532</v>
      </c>
      <c r="H268" s="3"/>
      <c r="I268" s="3"/>
      <c r="J268" s="4" t="n">
        <v>1747</v>
      </c>
      <c r="K268" s="3" t="s">
        <v>545</v>
      </c>
      <c r="L268" s="3" t="s">
        <v>47</v>
      </c>
      <c r="M268" s="3" t="s">
        <v>533</v>
      </c>
      <c r="N268" s="3"/>
    </row>
    <row r="269" customFormat="false" ht="15" hidden="false" customHeight="true" outlineLevel="0" collapsed="false">
      <c r="A269" s="3" t="s">
        <v>546</v>
      </c>
      <c r="B269" s="3" t="s">
        <v>517</v>
      </c>
      <c r="C269" s="3" t="s">
        <v>495</v>
      </c>
      <c r="D269" s="3" t="s">
        <v>518</v>
      </c>
      <c r="E269" s="3" t="s">
        <v>547</v>
      </c>
      <c r="F269" s="3" t="s">
        <v>197</v>
      </c>
      <c r="G269" s="3" t="s">
        <v>532</v>
      </c>
      <c r="H269" s="3"/>
      <c r="I269" s="3"/>
      <c r="J269" s="4" t="n">
        <v>895</v>
      </c>
      <c r="K269" s="3" t="s">
        <v>548</v>
      </c>
      <c r="L269" s="3" t="s">
        <v>47</v>
      </c>
      <c r="M269" s="3" t="s">
        <v>521</v>
      </c>
      <c r="N269" s="3"/>
    </row>
    <row r="270" customFormat="false" ht="15" hidden="false" customHeight="true" outlineLevel="0" collapsed="false">
      <c r="A270" s="3" t="s">
        <v>549</v>
      </c>
      <c r="B270" s="3" t="s">
        <v>517</v>
      </c>
      <c r="C270" s="3" t="s">
        <v>495</v>
      </c>
      <c r="D270" s="3" t="s">
        <v>518</v>
      </c>
      <c r="E270" s="3" t="s">
        <v>550</v>
      </c>
      <c r="F270" s="3" t="s">
        <v>197</v>
      </c>
      <c r="G270" s="3" t="s">
        <v>532</v>
      </c>
      <c r="H270" s="3"/>
      <c r="I270" s="3"/>
      <c r="J270" s="4" t="n">
        <v>691.8</v>
      </c>
      <c r="K270" s="3" t="s">
        <v>551</v>
      </c>
      <c r="L270" s="3" t="s">
        <v>47</v>
      </c>
      <c r="M270" s="3" t="s">
        <v>521</v>
      </c>
      <c r="N270" s="3"/>
    </row>
    <row r="271" customFormat="false" ht="15" hidden="false" customHeight="true" outlineLevel="0" collapsed="false">
      <c r="A271" s="3" t="s">
        <v>552</v>
      </c>
      <c r="B271" s="3" t="s">
        <v>529</v>
      </c>
      <c r="C271" s="3" t="s">
        <v>495</v>
      </c>
      <c r="D271" s="3" t="s">
        <v>530</v>
      </c>
      <c r="E271" s="3" t="s">
        <v>535</v>
      </c>
      <c r="F271" s="3" t="s">
        <v>531</v>
      </c>
      <c r="G271" s="3" t="s">
        <v>532</v>
      </c>
      <c r="H271" s="3"/>
      <c r="I271" s="3"/>
      <c r="J271" s="4" t="n">
        <v>513.1</v>
      </c>
      <c r="K271" s="3" t="s">
        <v>553</v>
      </c>
      <c r="L271" s="3" t="s">
        <v>245</v>
      </c>
      <c r="M271" s="3" t="s">
        <v>533</v>
      </c>
      <c r="N271" s="3"/>
    </row>
    <row r="272" customFormat="false" ht="15" hidden="false" customHeight="true" outlineLevel="0" collapsed="false">
      <c r="A272" s="3" t="s">
        <v>554</v>
      </c>
      <c r="B272" s="3" t="s">
        <v>529</v>
      </c>
      <c r="C272" s="3" t="s">
        <v>495</v>
      </c>
      <c r="D272" s="3" t="s">
        <v>530</v>
      </c>
      <c r="E272" s="3" t="s">
        <v>555</v>
      </c>
      <c r="F272" s="3" t="s">
        <v>531</v>
      </c>
      <c r="G272" s="3" t="s">
        <v>532</v>
      </c>
      <c r="H272" s="3"/>
      <c r="I272" s="3"/>
      <c r="J272" s="4" t="n">
        <v>507</v>
      </c>
      <c r="K272" s="3"/>
      <c r="L272" s="3" t="s">
        <v>49</v>
      </c>
      <c r="M272" s="3" t="s">
        <v>533</v>
      </c>
      <c r="N272" s="3"/>
    </row>
    <row r="273" customFormat="false" ht="15" hidden="false" customHeight="true" outlineLevel="0" collapsed="false">
      <c r="A273" s="3" t="s">
        <v>556</v>
      </c>
      <c r="B273" s="3" t="s">
        <v>517</v>
      </c>
      <c r="C273" s="3" t="s">
        <v>495</v>
      </c>
      <c r="D273" s="3" t="s">
        <v>518</v>
      </c>
      <c r="E273" s="3" t="s">
        <v>550</v>
      </c>
      <c r="F273" s="3" t="s">
        <v>197</v>
      </c>
      <c r="G273" s="3" t="s">
        <v>532</v>
      </c>
      <c r="H273" s="3"/>
      <c r="I273" s="3"/>
      <c r="J273" s="4" t="n">
        <v>413</v>
      </c>
      <c r="K273" s="3" t="s">
        <v>557</v>
      </c>
      <c r="L273" s="3" t="s">
        <v>47</v>
      </c>
      <c r="M273" s="3" t="s">
        <v>521</v>
      </c>
      <c r="N273" s="3"/>
    </row>
    <row r="274" customFormat="false" ht="15" hidden="false" customHeight="true" outlineLevel="0" collapsed="false">
      <c r="A274" s="3" t="s">
        <v>558</v>
      </c>
      <c r="B274" s="3" t="s">
        <v>529</v>
      </c>
      <c r="C274" s="3" t="s">
        <v>495</v>
      </c>
      <c r="D274" s="3" t="s">
        <v>530</v>
      </c>
      <c r="E274" s="3" t="s">
        <v>535</v>
      </c>
      <c r="F274" s="3" t="s">
        <v>531</v>
      </c>
      <c r="G274" s="3" t="s">
        <v>532</v>
      </c>
      <c r="H274" s="3"/>
      <c r="I274" s="3"/>
      <c r="J274" s="4" t="n">
        <v>322.9</v>
      </c>
      <c r="K274" s="3" t="s">
        <v>559</v>
      </c>
      <c r="L274" s="3" t="s">
        <v>47</v>
      </c>
      <c r="M274" s="3" t="s">
        <v>533</v>
      </c>
      <c r="N274" s="3"/>
    </row>
    <row r="275" customFormat="false" ht="15" hidden="false" customHeight="true" outlineLevel="0" collapsed="false">
      <c r="A275" s="3" t="s">
        <v>560</v>
      </c>
      <c r="B275" s="3" t="s">
        <v>529</v>
      </c>
      <c r="C275" s="3" t="s">
        <v>495</v>
      </c>
      <c r="D275" s="3" t="s">
        <v>530</v>
      </c>
      <c r="E275" s="3" t="s">
        <v>535</v>
      </c>
      <c r="F275" s="3" t="s">
        <v>531</v>
      </c>
      <c r="G275" s="3" t="s">
        <v>532</v>
      </c>
      <c r="H275" s="3"/>
      <c r="I275" s="3"/>
      <c r="J275" s="4" t="n">
        <v>204</v>
      </c>
      <c r="K275" s="3"/>
      <c r="L275" s="3" t="s">
        <v>49</v>
      </c>
      <c r="M275" s="3" t="s">
        <v>533</v>
      </c>
      <c r="N275" s="3"/>
    </row>
    <row r="276" customFormat="false" ht="15" hidden="false" customHeight="true" outlineLevel="0" collapsed="false">
      <c r="A276" s="3" t="s">
        <v>561</v>
      </c>
      <c r="B276" s="3" t="s">
        <v>529</v>
      </c>
      <c r="C276" s="3" t="s">
        <v>495</v>
      </c>
      <c r="D276" s="3" t="s">
        <v>530</v>
      </c>
      <c r="E276" s="3" t="s">
        <v>535</v>
      </c>
      <c r="F276" s="3" t="s">
        <v>531</v>
      </c>
      <c r="G276" s="3" t="s">
        <v>532</v>
      </c>
      <c r="H276" s="3"/>
      <c r="I276" s="3"/>
      <c r="J276" s="4" t="n">
        <v>190.9</v>
      </c>
      <c r="K276" s="3" t="s">
        <v>562</v>
      </c>
      <c r="L276" s="3" t="s">
        <v>47</v>
      </c>
      <c r="M276" s="3" t="s">
        <v>533</v>
      </c>
      <c r="N276" s="3"/>
    </row>
    <row r="277" customFormat="false" ht="15" hidden="false" customHeight="true" outlineLevel="0" collapsed="false">
      <c r="A277" s="3" t="s">
        <v>563</v>
      </c>
      <c r="B277" s="3" t="s">
        <v>517</v>
      </c>
      <c r="C277" s="3" t="s">
        <v>495</v>
      </c>
      <c r="D277" s="3" t="s">
        <v>518</v>
      </c>
      <c r="E277" s="3" t="s">
        <v>547</v>
      </c>
      <c r="F277" s="3" t="s">
        <v>197</v>
      </c>
      <c r="G277" s="3" t="s">
        <v>532</v>
      </c>
      <c r="H277" s="3"/>
      <c r="I277" s="3"/>
      <c r="J277" s="4" t="n">
        <v>179</v>
      </c>
      <c r="K277" s="3" t="s">
        <v>564</v>
      </c>
      <c r="L277" s="3" t="s">
        <v>47</v>
      </c>
      <c r="M277" s="3" t="s">
        <v>521</v>
      </c>
      <c r="N277" s="3"/>
    </row>
    <row r="278" customFormat="false" ht="15" hidden="false" customHeight="true" outlineLevel="0" collapsed="false">
      <c r="A278" s="3" t="s">
        <v>565</v>
      </c>
      <c r="B278" s="3" t="s">
        <v>529</v>
      </c>
      <c r="C278" s="3" t="s">
        <v>495</v>
      </c>
      <c r="D278" s="3" t="s">
        <v>530</v>
      </c>
      <c r="E278" s="3" t="s">
        <v>535</v>
      </c>
      <c r="F278" s="3" t="s">
        <v>531</v>
      </c>
      <c r="G278" s="3" t="s">
        <v>532</v>
      </c>
      <c r="H278" s="3"/>
      <c r="I278" s="3"/>
      <c r="J278" s="4" t="n">
        <v>131</v>
      </c>
      <c r="K278" s="3" t="s">
        <v>566</v>
      </c>
      <c r="L278" s="3" t="s">
        <v>47</v>
      </c>
      <c r="M278" s="3" t="s">
        <v>533</v>
      </c>
      <c r="N278" s="3"/>
    </row>
    <row r="279" customFormat="false" ht="15" hidden="false" customHeight="true" outlineLevel="0" collapsed="false">
      <c r="A279" s="3" t="s">
        <v>567</v>
      </c>
      <c r="B279" s="3" t="s">
        <v>529</v>
      </c>
      <c r="C279" s="3" t="s">
        <v>495</v>
      </c>
      <c r="D279" s="3" t="s">
        <v>530</v>
      </c>
      <c r="E279" s="3" t="s">
        <v>555</v>
      </c>
      <c r="F279" s="3" t="s">
        <v>531</v>
      </c>
      <c r="G279" s="3" t="s">
        <v>532</v>
      </c>
      <c r="H279" s="3"/>
      <c r="I279" s="3"/>
      <c r="J279" s="4" t="n">
        <v>128.3</v>
      </c>
      <c r="K279" s="3"/>
      <c r="L279" s="3" t="s">
        <v>49</v>
      </c>
      <c r="M279" s="3" t="s">
        <v>533</v>
      </c>
      <c r="N279" s="3"/>
    </row>
    <row r="280" customFormat="false" ht="15" hidden="false" customHeight="true" outlineLevel="0" collapsed="false">
      <c r="A280" s="3" t="s">
        <v>568</v>
      </c>
      <c r="B280" s="3" t="s">
        <v>529</v>
      </c>
      <c r="C280" s="3" t="s">
        <v>495</v>
      </c>
      <c r="D280" s="3" t="s">
        <v>530</v>
      </c>
      <c r="E280" s="3" t="s">
        <v>555</v>
      </c>
      <c r="F280" s="3" t="s">
        <v>531</v>
      </c>
      <c r="G280" s="3" t="s">
        <v>532</v>
      </c>
      <c r="H280" s="3"/>
      <c r="I280" s="3"/>
      <c r="J280" s="4" t="n">
        <v>123.7</v>
      </c>
      <c r="K280" s="3" t="s">
        <v>569</v>
      </c>
      <c r="L280" s="3" t="s">
        <v>47</v>
      </c>
      <c r="M280" s="3" t="s">
        <v>533</v>
      </c>
      <c r="N280" s="3"/>
    </row>
    <row r="281" customFormat="false" ht="15" hidden="false" customHeight="true" outlineLevel="0" collapsed="false">
      <c r="A281" s="3" t="s">
        <v>570</v>
      </c>
      <c r="B281" s="3" t="s">
        <v>529</v>
      </c>
      <c r="C281" s="3" t="s">
        <v>495</v>
      </c>
      <c r="D281" s="3" t="s">
        <v>530</v>
      </c>
      <c r="E281" s="3" t="s">
        <v>555</v>
      </c>
      <c r="F281" s="3" t="s">
        <v>531</v>
      </c>
      <c r="G281" s="3" t="s">
        <v>532</v>
      </c>
      <c r="H281" s="3"/>
      <c r="I281" s="3"/>
      <c r="J281" s="4" t="n">
        <v>120</v>
      </c>
      <c r="K281" s="3" t="s">
        <v>571</v>
      </c>
      <c r="L281" s="3" t="s">
        <v>47</v>
      </c>
      <c r="M281" s="3" t="s">
        <v>533</v>
      </c>
      <c r="N281" s="3"/>
    </row>
    <row r="282" customFormat="false" ht="15" hidden="false" customHeight="true" outlineLevel="0" collapsed="false">
      <c r="A282" s="3" t="s">
        <v>572</v>
      </c>
      <c r="B282" s="3" t="s">
        <v>529</v>
      </c>
      <c r="C282" s="3" t="s">
        <v>495</v>
      </c>
      <c r="D282" s="3" t="s">
        <v>530</v>
      </c>
      <c r="E282" s="3" t="s">
        <v>535</v>
      </c>
      <c r="F282" s="3" t="s">
        <v>531</v>
      </c>
      <c r="G282" s="3" t="s">
        <v>532</v>
      </c>
      <c r="H282" s="3"/>
      <c r="I282" s="3"/>
      <c r="J282" s="4" t="n">
        <v>95</v>
      </c>
      <c r="K282" s="3"/>
      <c r="L282" s="3" t="s">
        <v>49</v>
      </c>
      <c r="M282" s="3" t="s">
        <v>533</v>
      </c>
      <c r="N282" s="3"/>
    </row>
    <row r="283" customFormat="false" ht="15" hidden="false" customHeight="true" outlineLevel="0" collapsed="false">
      <c r="A283" s="3" t="s">
        <v>573</v>
      </c>
      <c r="B283" s="3" t="s">
        <v>529</v>
      </c>
      <c r="C283" s="3" t="s">
        <v>495</v>
      </c>
      <c r="D283" s="3" t="s">
        <v>530</v>
      </c>
      <c r="E283" s="3" t="s">
        <v>535</v>
      </c>
      <c r="F283" s="3" t="s">
        <v>531</v>
      </c>
      <c r="G283" s="3" t="s">
        <v>532</v>
      </c>
      <c r="H283" s="3"/>
      <c r="I283" s="3"/>
      <c r="J283" s="4" t="n">
        <v>69.1</v>
      </c>
      <c r="K283" s="3" t="s">
        <v>574</v>
      </c>
      <c r="L283" s="3" t="s">
        <v>47</v>
      </c>
      <c r="M283" s="3" t="s">
        <v>533</v>
      </c>
      <c r="N283" s="3"/>
    </row>
    <row r="284" customFormat="false" ht="15" hidden="false" customHeight="true" outlineLevel="0" collapsed="false">
      <c r="A284" s="3" t="s">
        <v>575</v>
      </c>
      <c r="B284" s="3" t="s">
        <v>529</v>
      </c>
      <c r="C284" s="3" t="s">
        <v>495</v>
      </c>
      <c r="D284" s="3" t="s">
        <v>530</v>
      </c>
      <c r="E284" s="3" t="s">
        <v>535</v>
      </c>
      <c r="F284" s="3" t="s">
        <v>531</v>
      </c>
      <c r="G284" s="3" t="s">
        <v>532</v>
      </c>
      <c r="H284" s="3"/>
      <c r="I284" s="3"/>
      <c r="J284" s="4" t="n">
        <v>68.5</v>
      </c>
      <c r="K284" s="3" t="s">
        <v>576</v>
      </c>
      <c r="L284" s="3" t="s">
        <v>47</v>
      </c>
      <c r="M284" s="3" t="s">
        <v>533</v>
      </c>
      <c r="N284" s="3"/>
    </row>
    <row r="285" customFormat="false" ht="15" hidden="false" customHeight="true" outlineLevel="0" collapsed="false">
      <c r="A285" s="3" t="s">
        <v>577</v>
      </c>
      <c r="B285" s="3" t="s">
        <v>529</v>
      </c>
      <c r="C285" s="3" t="s">
        <v>495</v>
      </c>
      <c r="D285" s="3" t="s">
        <v>530</v>
      </c>
      <c r="E285" s="3" t="s">
        <v>535</v>
      </c>
      <c r="F285" s="3" t="s">
        <v>531</v>
      </c>
      <c r="G285" s="3" t="s">
        <v>532</v>
      </c>
      <c r="H285" s="3"/>
      <c r="I285" s="3"/>
      <c r="J285" s="4" t="n">
        <v>60.7</v>
      </c>
      <c r="K285" s="3" t="s">
        <v>578</v>
      </c>
      <c r="L285" s="3" t="s">
        <v>47</v>
      </c>
      <c r="M285" s="3" t="s">
        <v>533</v>
      </c>
      <c r="N285" s="3"/>
    </row>
    <row r="286" customFormat="false" ht="15" hidden="false" customHeight="true" outlineLevel="0" collapsed="false">
      <c r="A286" s="3" t="s">
        <v>579</v>
      </c>
      <c r="B286" s="3" t="s">
        <v>517</v>
      </c>
      <c r="C286" s="3" t="s">
        <v>495</v>
      </c>
      <c r="D286" s="3" t="s">
        <v>518</v>
      </c>
      <c r="E286" s="3" t="s">
        <v>547</v>
      </c>
      <c r="F286" s="3" t="s">
        <v>197</v>
      </c>
      <c r="G286" s="3" t="s">
        <v>532</v>
      </c>
      <c r="H286" s="3"/>
      <c r="I286" s="3"/>
      <c r="J286" s="4" t="n">
        <v>34</v>
      </c>
      <c r="K286" s="3" t="s">
        <v>580</v>
      </c>
      <c r="L286" s="3" t="s">
        <v>47</v>
      </c>
      <c r="M286" s="3" t="s">
        <v>521</v>
      </c>
      <c r="N286" s="3"/>
    </row>
    <row r="287" customFormat="false" ht="15" hidden="false" customHeight="true" outlineLevel="0" collapsed="false">
      <c r="A287" s="3" t="s">
        <v>581</v>
      </c>
      <c r="B287" s="3" t="s">
        <v>529</v>
      </c>
      <c r="C287" s="3" t="s">
        <v>495</v>
      </c>
      <c r="D287" s="3" t="s">
        <v>530</v>
      </c>
      <c r="E287" s="3" t="s">
        <v>535</v>
      </c>
      <c r="F287" s="3" t="s">
        <v>531</v>
      </c>
      <c r="G287" s="3" t="s">
        <v>532</v>
      </c>
      <c r="H287" s="3"/>
      <c r="I287" s="3"/>
      <c r="J287" s="4" t="n">
        <v>28.8</v>
      </c>
      <c r="K287" s="3"/>
      <c r="L287" s="3" t="s">
        <v>49</v>
      </c>
      <c r="M287" s="3" t="s">
        <v>533</v>
      </c>
      <c r="N287" s="3"/>
    </row>
    <row r="288" customFormat="false" ht="15" hidden="false" customHeight="true" outlineLevel="0" collapsed="false">
      <c r="A288" s="3" t="s">
        <v>582</v>
      </c>
      <c r="B288" s="3" t="s">
        <v>529</v>
      </c>
      <c r="C288" s="3" t="s">
        <v>495</v>
      </c>
      <c r="D288" s="3" t="s">
        <v>530</v>
      </c>
      <c r="E288" s="3" t="s">
        <v>535</v>
      </c>
      <c r="F288" s="3" t="s">
        <v>531</v>
      </c>
      <c r="G288" s="3" t="s">
        <v>532</v>
      </c>
      <c r="H288" s="3"/>
      <c r="I288" s="3"/>
      <c r="J288" s="4" t="n">
        <v>19.1</v>
      </c>
      <c r="K288" s="3" t="s">
        <v>583</v>
      </c>
      <c r="L288" s="3" t="s">
        <v>47</v>
      </c>
      <c r="M288" s="3" t="s">
        <v>533</v>
      </c>
      <c r="N288" s="3"/>
    </row>
    <row r="289" customFormat="false" ht="15" hidden="false" customHeight="true" outlineLevel="0" collapsed="false">
      <c r="A289" s="3" t="s">
        <v>584</v>
      </c>
      <c r="B289" s="3" t="s">
        <v>529</v>
      </c>
      <c r="C289" s="3" t="s">
        <v>495</v>
      </c>
      <c r="D289" s="3" t="s">
        <v>530</v>
      </c>
      <c r="E289" s="3" t="s">
        <v>535</v>
      </c>
      <c r="F289" s="3" t="s">
        <v>531</v>
      </c>
      <c r="G289" s="3" t="s">
        <v>532</v>
      </c>
      <c r="H289" s="3"/>
      <c r="I289" s="3"/>
      <c r="J289" s="4" t="n">
        <v>13.1</v>
      </c>
      <c r="K289" s="3"/>
      <c r="L289" s="3" t="s">
        <v>49</v>
      </c>
      <c r="M289" s="3" t="s">
        <v>533</v>
      </c>
      <c r="N289" s="3"/>
    </row>
    <row r="290" customFormat="false" ht="15" hidden="false" customHeight="true" outlineLevel="0" collapsed="false">
      <c r="A290" s="3" t="s">
        <v>585</v>
      </c>
      <c r="B290" s="3" t="s">
        <v>529</v>
      </c>
      <c r="C290" s="3" t="s">
        <v>495</v>
      </c>
      <c r="D290" s="3" t="s">
        <v>530</v>
      </c>
      <c r="E290" s="3" t="s">
        <v>541</v>
      </c>
      <c r="F290" s="3" t="s">
        <v>531</v>
      </c>
      <c r="G290" s="3" t="s">
        <v>532</v>
      </c>
      <c r="H290" s="3"/>
      <c r="I290" s="3"/>
      <c r="J290" s="4" t="n">
        <v>6.4</v>
      </c>
      <c r="K290" s="3" t="s">
        <v>586</v>
      </c>
      <c r="L290" s="3" t="s">
        <v>47</v>
      </c>
      <c r="M290" s="3" t="s">
        <v>533</v>
      </c>
      <c r="N290" s="3"/>
    </row>
    <row r="291" customFormat="false" ht="15" hidden="false" customHeight="true" outlineLevel="0" collapsed="false">
      <c r="A291" s="3" t="s">
        <v>587</v>
      </c>
      <c r="B291" s="3" t="s">
        <v>529</v>
      </c>
      <c r="C291" s="3" t="s">
        <v>495</v>
      </c>
      <c r="D291" s="3" t="s">
        <v>530</v>
      </c>
      <c r="E291" s="3" t="s">
        <v>535</v>
      </c>
      <c r="F291" s="3" t="s">
        <v>531</v>
      </c>
      <c r="G291" s="3" t="s">
        <v>532</v>
      </c>
      <c r="H291" s="3"/>
      <c r="I291" s="3"/>
      <c r="J291" s="4" t="n">
        <v>0.5</v>
      </c>
      <c r="K291" s="3" t="s">
        <v>578</v>
      </c>
      <c r="L291" s="3" t="s">
        <v>47</v>
      </c>
      <c r="M291" s="3" t="s">
        <v>533</v>
      </c>
      <c r="N291" s="3"/>
    </row>
    <row r="292" customFormat="false" ht="15" hidden="false" customHeight="true" outlineLevel="0" collapsed="false">
      <c r="A292" s="3" t="s">
        <v>588</v>
      </c>
      <c r="B292" s="3" t="s">
        <v>529</v>
      </c>
      <c r="C292" s="3" t="s">
        <v>495</v>
      </c>
      <c r="D292" s="3" t="s">
        <v>530</v>
      </c>
      <c r="E292" s="3" t="s">
        <v>535</v>
      </c>
      <c r="F292" s="3" t="s">
        <v>531</v>
      </c>
      <c r="G292" s="3" t="s">
        <v>532</v>
      </c>
      <c r="H292" s="3"/>
      <c r="I292" s="3"/>
      <c r="J292" s="4" t="n">
        <v>0.3</v>
      </c>
      <c r="K292" s="3" t="s">
        <v>589</v>
      </c>
      <c r="L292" s="3" t="s">
        <v>47</v>
      </c>
      <c r="M292" s="3" t="s">
        <v>533</v>
      </c>
      <c r="N292" s="3"/>
    </row>
    <row r="293" customFormat="false" ht="15" hidden="false" customHeight="true" outlineLevel="0" collapsed="false">
      <c r="A293" s="3" t="s">
        <v>590</v>
      </c>
      <c r="B293" s="3" t="s">
        <v>517</v>
      </c>
      <c r="C293" s="3" t="s">
        <v>495</v>
      </c>
      <c r="D293" s="3" t="s">
        <v>518</v>
      </c>
      <c r="E293" s="3" t="s">
        <v>591</v>
      </c>
      <c r="F293" s="3" t="s">
        <v>197</v>
      </c>
      <c r="G293" s="3" t="s">
        <v>532</v>
      </c>
      <c r="H293" s="3"/>
      <c r="I293" s="3"/>
      <c r="J293" s="4"/>
      <c r="K293" s="3" t="s">
        <v>592</v>
      </c>
      <c r="L293" s="3" t="s">
        <v>142</v>
      </c>
      <c r="M293" s="3" t="s">
        <v>521</v>
      </c>
      <c r="N293" s="3"/>
    </row>
    <row r="294" customFormat="false" ht="15" hidden="false" customHeight="true" outlineLevel="0" collapsed="false">
      <c r="A294" s="3" t="s">
        <v>593</v>
      </c>
      <c r="B294" s="3" t="s">
        <v>517</v>
      </c>
      <c r="C294" s="3" t="s">
        <v>495</v>
      </c>
      <c r="D294" s="3" t="s">
        <v>518</v>
      </c>
      <c r="E294" s="3" t="s">
        <v>591</v>
      </c>
      <c r="F294" s="3" t="s">
        <v>197</v>
      </c>
      <c r="G294" s="3" t="s">
        <v>532</v>
      </c>
      <c r="H294" s="3"/>
      <c r="I294" s="3"/>
      <c r="J294" s="4"/>
      <c r="K294" s="3" t="s">
        <v>592</v>
      </c>
      <c r="L294" s="3" t="s">
        <v>142</v>
      </c>
      <c r="M294" s="3" t="s">
        <v>521</v>
      </c>
      <c r="N294" s="3"/>
    </row>
    <row r="295" customFormat="false" ht="15" hidden="false" customHeight="true" outlineLevel="0" collapsed="false">
      <c r="A295" s="3" t="s">
        <v>594</v>
      </c>
      <c r="B295" s="3" t="s">
        <v>517</v>
      </c>
      <c r="C295" s="3" t="s">
        <v>495</v>
      </c>
      <c r="D295" s="3" t="s">
        <v>518</v>
      </c>
      <c r="E295" s="3" t="s">
        <v>595</v>
      </c>
      <c r="F295" s="3" t="s">
        <v>197</v>
      </c>
      <c r="G295" s="3" t="s">
        <v>532</v>
      </c>
      <c r="H295" s="3"/>
      <c r="I295" s="3"/>
      <c r="J295" s="4"/>
      <c r="K295" s="3" t="s">
        <v>592</v>
      </c>
      <c r="L295" s="3" t="s">
        <v>142</v>
      </c>
      <c r="M295" s="3" t="s">
        <v>521</v>
      </c>
      <c r="N295" s="3"/>
    </row>
    <row r="296" customFormat="false" ht="15" hidden="false" customHeight="true" outlineLevel="0" collapsed="false">
      <c r="A296" s="3" t="s">
        <v>596</v>
      </c>
      <c r="B296" s="3" t="s">
        <v>517</v>
      </c>
      <c r="C296" s="3" t="s">
        <v>495</v>
      </c>
      <c r="D296" s="3" t="s">
        <v>518</v>
      </c>
      <c r="E296" s="3" t="s">
        <v>591</v>
      </c>
      <c r="F296" s="3" t="s">
        <v>197</v>
      </c>
      <c r="G296" s="3" t="s">
        <v>532</v>
      </c>
      <c r="H296" s="3"/>
      <c r="I296" s="3"/>
      <c r="J296" s="4"/>
      <c r="K296" s="3" t="s">
        <v>592</v>
      </c>
      <c r="L296" s="3" t="s">
        <v>142</v>
      </c>
      <c r="M296" s="3" t="s">
        <v>521</v>
      </c>
      <c r="N296" s="3"/>
    </row>
    <row r="297" customFormat="false" ht="15" hidden="false" customHeight="true" outlineLevel="0" collapsed="false">
      <c r="A297" s="3" t="s">
        <v>597</v>
      </c>
      <c r="B297" s="3" t="s">
        <v>517</v>
      </c>
      <c r="C297" s="3" t="s">
        <v>495</v>
      </c>
      <c r="D297" s="3" t="s">
        <v>518</v>
      </c>
      <c r="E297" s="3" t="s">
        <v>519</v>
      </c>
      <c r="F297" s="3" t="s">
        <v>197</v>
      </c>
      <c r="G297" s="3" t="s">
        <v>532</v>
      </c>
      <c r="H297" s="3"/>
      <c r="I297" s="3"/>
      <c r="J297" s="4"/>
      <c r="K297" s="3" t="s">
        <v>598</v>
      </c>
      <c r="L297" s="3" t="s">
        <v>142</v>
      </c>
      <c r="M297" s="3" t="s">
        <v>521</v>
      </c>
      <c r="N297" s="3"/>
    </row>
    <row r="298" customFormat="false" ht="15" hidden="false" customHeight="true" outlineLevel="0" collapsed="false">
      <c r="A298" s="3" t="s">
        <v>599</v>
      </c>
      <c r="B298" s="3" t="s">
        <v>517</v>
      </c>
      <c r="C298" s="3" t="s">
        <v>495</v>
      </c>
      <c r="D298" s="3" t="s">
        <v>518</v>
      </c>
      <c r="E298" s="3" t="s">
        <v>547</v>
      </c>
      <c r="F298" s="3" t="s">
        <v>197</v>
      </c>
      <c r="G298" s="3" t="s">
        <v>532</v>
      </c>
      <c r="H298" s="3"/>
      <c r="I298" s="3"/>
      <c r="J298" s="4"/>
      <c r="K298" s="3" t="s">
        <v>598</v>
      </c>
      <c r="L298" s="3" t="s">
        <v>142</v>
      </c>
      <c r="M298" s="3" t="s">
        <v>521</v>
      </c>
      <c r="N298" s="3"/>
    </row>
    <row r="299" customFormat="false" ht="15" hidden="false" customHeight="true" outlineLevel="0" collapsed="false">
      <c r="A299" s="3" t="s">
        <v>600</v>
      </c>
      <c r="B299" s="3" t="s">
        <v>517</v>
      </c>
      <c r="C299" s="3" t="s">
        <v>495</v>
      </c>
      <c r="D299" s="3" t="s">
        <v>518</v>
      </c>
      <c r="E299" s="3" t="s">
        <v>519</v>
      </c>
      <c r="F299" s="3" t="s">
        <v>197</v>
      </c>
      <c r="G299" s="3" t="s">
        <v>532</v>
      </c>
      <c r="H299" s="3"/>
      <c r="I299" s="3"/>
      <c r="J299" s="4"/>
      <c r="K299" s="3" t="s">
        <v>598</v>
      </c>
      <c r="L299" s="3" t="s">
        <v>142</v>
      </c>
      <c r="M299" s="3" t="s">
        <v>521</v>
      </c>
      <c r="N299" s="3"/>
    </row>
    <row r="300" customFormat="false" ht="15" hidden="false" customHeight="true" outlineLevel="0" collapsed="false">
      <c r="A300" s="3" t="s">
        <v>601</v>
      </c>
      <c r="B300" s="3" t="s">
        <v>517</v>
      </c>
      <c r="C300" s="3" t="s">
        <v>495</v>
      </c>
      <c r="D300" s="3" t="s">
        <v>518</v>
      </c>
      <c r="E300" s="3" t="s">
        <v>547</v>
      </c>
      <c r="F300" s="3" t="s">
        <v>197</v>
      </c>
      <c r="G300" s="3" t="s">
        <v>532</v>
      </c>
      <c r="H300" s="3"/>
      <c r="I300" s="3"/>
      <c r="J300" s="4"/>
      <c r="K300" s="3" t="s">
        <v>598</v>
      </c>
      <c r="L300" s="3" t="s">
        <v>142</v>
      </c>
      <c r="M300" s="3" t="s">
        <v>521</v>
      </c>
      <c r="N300" s="3"/>
    </row>
    <row r="301" customFormat="false" ht="15" hidden="false" customHeight="true" outlineLevel="0" collapsed="false">
      <c r="A301" s="3" t="s">
        <v>602</v>
      </c>
      <c r="B301" s="3" t="s">
        <v>517</v>
      </c>
      <c r="C301" s="3" t="s">
        <v>495</v>
      </c>
      <c r="D301" s="3" t="s">
        <v>518</v>
      </c>
      <c r="E301" s="3" t="s">
        <v>591</v>
      </c>
      <c r="F301" s="3" t="s">
        <v>197</v>
      </c>
      <c r="G301" s="3" t="s">
        <v>532</v>
      </c>
      <c r="H301" s="3"/>
      <c r="I301" s="3"/>
      <c r="J301" s="4"/>
      <c r="K301" s="3" t="s">
        <v>592</v>
      </c>
      <c r="L301" s="3" t="s">
        <v>142</v>
      </c>
      <c r="M301" s="3" t="s">
        <v>521</v>
      </c>
      <c r="N301" s="3"/>
    </row>
    <row r="302" customFormat="false" ht="15" hidden="false" customHeight="true" outlineLevel="0" collapsed="false">
      <c r="A302" s="3" t="s">
        <v>603</v>
      </c>
      <c r="B302" s="3" t="s">
        <v>517</v>
      </c>
      <c r="C302" s="3" t="s">
        <v>495</v>
      </c>
      <c r="D302" s="3" t="s">
        <v>518</v>
      </c>
      <c r="E302" s="3" t="s">
        <v>547</v>
      </c>
      <c r="F302" s="3" t="s">
        <v>197</v>
      </c>
      <c r="G302" s="3" t="s">
        <v>532</v>
      </c>
      <c r="H302" s="3"/>
      <c r="I302" s="3"/>
      <c r="J302" s="4"/>
      <c r="K302" s="3" t="s">
        <v>592</v>
      </c>
      <c r="L302" s="3" t="s">
        <v>142</v>
      </c>
      <c r="M302" s="3" t="s">
        <v>521</v>
      </c>
      <c r="N302" s="3"/>
    </row>
    <row r="303" customFormat="false" ht="15" hidden="false" customHeight="true" outlineLevel="0" collapsed="false">
      <c r="A303" s="3" t="s">
        <v>604</v>
      </c>
      <c r="B303" s="3" t="s">
        <v>517</v>
      </c>
      <c r="C303" s="3" t="s">
        <v>495</v>
      </c>
      <c r="D303" s="3" t="s">
        <v>518</v>
      </c>
      <c r="E303" s="3" t="s">
        <v>519</v>
      </c>
      <c r="F303" s="3" t="s">
        <v>197</v>
      </c>
      <c r="G303" s="3" t="s">
        <v>532</v>
      </c>
      <c r="H303" s="3"/>
      <c r="I303" s="3"/>
      <c r="J303" s="4"/>
      <c r="K303" s="3" t="s">
        <v>598</v>
      </c>
      <c r="L303" s="3" t="s">
        <v>142</v>
      </c>
      <c r="M303" s="3" t="s">
        <v>521</v>
      </c>
      <c r="N303" s="3"/>
    </row>
    <row r="304" customFormat="false" ht="15" hidden="false" customHeight="true" outlineLevel="0" collapsed="false">
      <c r="A304" s="3" t="s">
        <v>605</v>
      </c>
      <c r="B304" s="3" t="s">
        <v>517</v>
      </c>
      <c r="C304" s="3" t="s">
        <v>495</v>
      </c>
      <c r="D304" s="3" t="s">
        <v>518</v>
      </c>
      <c r="E304" s="3" t="s">
        <v>547</v>
      </c>
      <c r="F304" s="3" t="s">
        <v>197</v>
      </c>
      <c r="G304" s="3" t="s">
        <v>532</v>
      </c>
      <c r="H304" s="3"/>
      <c r="I304" s="3"/>
      <c r="J304" s="4"/>
      <c r="K304" s="3" t="s">
        <v>598</v>
      </c>
      <c r="L304" s="3" t="s">
        <v>142</v>
      </c>
      <c r="M304" s="3" t="s">
        <v>521</v>
      </c>
      <c r="N304" s="3"/>
    </row>
    <row r="305" customFormat="false" ht="15" hidden="false" customHeight="true" outlineLevel="0" collapsed="false">
      <c r="A305" s="3" t="s">
        <v>606</v>
      </c>
      <c r="B305" s="3" t="s">
        <v>529</v>
      </c>
      <c r="C305" s="3" t="s">
        <v>495</v>
      </c>
      <c r="D305" s="3" t="s">
        <v>530</v>
      </c>
      <c r="E305" s="3" t="s">
        <v>535</v>
      </c>
      <c r="F305" s="3" t="s">
        <v>531</v>
      </c>
      <c r="G305" s="3" t="s">
        <v>532</v>
      </c>
      <c r="H305" s="3"/>
      <c r="I305" s="3"/>
      <c r="J305" s="4"/>
      <c r="K305" s="3" t="s">
        <v>607</v>
      </c>
      <c r="L305" s="3" t="s">
        <v>22</v>
      </c>
      <c r="M305" s="3" t="s">
        <v>533</v>
      </c>
      <c r="N305" s="3"/>
    </row>
    <row r="306" customFormat="false" ht="15" hidden="false" customHeight="true" outlineLevel="0" collapsed="false">
      <c r="A306" s="3" t="s">
        <v>608</v>
      </c>
      <c r="B306" s="3" t="s">
        <v>529</v>
      </c>
      <c r="C306" s="3" t="s">
        <v>495</v>
      </c>
      <c r="D306" s="3" t="s">
        <v>530</v>
      </c>
      <c r="E306" s="3" t="s">
        <v>555</v>
      </c>
      <c r="F306" s="3" t="s">
        <v>531</v>
      </c>
      <c r="G306" s="3" t="s">
        <v>532</v>
      </c>
      <c r="H306" s="3"/>
      <c r="I306" s="3"/>
      <c r="J306" s="4"/>
      <c r="K306" s="3" t="s">
        <v>609</v>
      </c>
      <c r="L306" s="3" t="s">
        <v>22</v>
      </c>
      <c r="M306" s="3" t="s">
        <v>533</v>
      </c>
      <c r="N306" s="3"/>
    </row>
    <row r="307" customFormat="false" ht="15" hidden="false" customHeight="true" outlineLevel="0" collapsed="false">
      <c r="A307" s="3" t="s">
        <v>610</v>
      </c>
      <c r="B307" s="3" t="s">
        <v>517</v>
      </c>
      <c r="C307" s="3" t="s">
        <v>495</v>
      </c>
      <c r="D307" s="3" t="s">
        <v>518</v>
      </c>
      <c r="E307" s="3" t="s">
        <v>591</v>
      </c>
      <c r="F307" s="3" t="s">
        <v>197</v>
      </c>
      <c r="G307" s="3" t="s">
        <v>532</v>
      </c>
      <c r="H307" s="3"/>
      <c r="I307" s="3"/>
      <c r="J307" s="4"/>
      <c r="K307" s="3" t="s">
        <v>592</v>
      </c>
      <c r="L307" s="3" t="s">
        <v>142</v>
      </c>
      <c r="M307" s="3" t="s">
        <v>521</v>
      </c>
      <c r="N307" s="3"/>
    </row>
    <row r="308" customFormat="false" ht="15" hidden="false" customHeight="true" outlineLevel="0" collapsed="false">
      <c r="A308" s="3" t="s">
        <v>611</v>
      </c>
      <c r="B308" s="3" t="s">
        <v>529</v>
      </c>
      <c r="C308" s="3" t="s">
        <v>495</v>
      </c>
      <c r="D308" s="3" t="s">
        <v>530</v>
      </c>
      <c r="E308" s="3" t="s">
        <v>555</v>
      </c>
      <c r="F308" s="3" t="s">
        <v>531</v>
      </c>
      <c r="G308" s="3" t="s">
        <v>532</v>
      </c>
      <c r="H308" s="3"/>
      <c r="I308" s="3"/>
      <c r="J308" s="4"/>
      <c r="K308" s="3" t="s">
        <v>612</v>
      </c>
      <c r="L308" s="3" t="s">
        <v>22</v>
      </c>
      <c r="M308" s="3" t="s">
        <v>533</v>
      </c>
      <c r="N308" s="3"/>
    </row>
    <row r="309" customFormat="false" ht="15" hidden="false" customHeight="true" outlineLevel="0" collapsed="false">
      <c r="A309" s="3" t="s">
        <v>613</v>
      </c>
      <c r="B309" s="3" t="s">
        <v>517</v>
      </c>
      <c r="C309" s="3" t="s">
        <v>495</v>
      </c>
      <c r="D309" s="3" t="s">
        <v>518</v>
      </c>
      <c r="E309" s="3" t="s">
        <v>550</v>
      </c>
      <c r="F309" s="3" t="s">
        <v>197</v>
      </c>
      <c r="G309" s="3" t="s">
        <v>532</v>
      </c>
      <c r="H309" s="3"/>
      <c r="I309" s="3"/>
      <c r="J309" s="4"/>
      <c r="K309" s="3"/>
      <c r="L309" s="3" t="s">
        <v>49</v>
      </c>
      <c r="M309" s="3" t="s">
        <v>521</v>
      </c>
      <c r="N309" s="3"/>
    </row>
    <row r="310" customFormat="false" ht="15" hidden="false" customHeight="true" outlineLevel="0" collapsed="false">
      <c r="A310" s="3" t="s">
        <v>614</v>
      </c>
      <c r="B310" s="3" t="s">
        <v>517</v>
      </c>
      <c r="C310" s="3" t="s">
        <v>495</v>
      </c>
      <c r="D310" s="3" t="s">
        <v>518</v>
      </c>
      <c r="E310" s="3" t="s">
        <v>550</v>
      </c>
      <c r="F310" s="3" t="s">
        <v>197</v>
      </c>
      <c r="G310" s="3" t="s">
        <v>532</v>
      </c>
      <c r="H310" s="3"/>
      <c r="I310" s="3"/>
      <c r="J310" s="4"/>
      <c r="K310" s="3"/>
      <c r="L310" s="3" t="s">
        <v>49</v>
      </c>
      <c r="M310" s="3" t="s">
        <v>521</v>
      </c>
      <c r="N310" s="3"/>
    </row>
    <row r="311" customFormat="false" ht="15" hidden="false" customHeight="true" outlineLevel="0" collapsed="false">
      <c r="A311" s="3" t="s">
        <v>615</v>
      </c>
      <c r="B311" s="3" t="s">
        <v>517</v>
      </c>
      <c r="C311" s="3" t="s">
        <v>495</v>
      </c>
      <c r="D311" s="3" t="s">
        <v>518</v>
      </c>
      <c r="E311" s="3" t="s">
        <v>550</v>
      </c>
      <c r="F311" s="3" t="s">
        <v>197</v>
      </c>
      <c r="G311" s="3" t="s">
        <v>532</v>
      </c>
      <c r="H311" s="3"/>
      <c r="I311" s="3"/>
      <c r="J311" s="4"/>
      <c r="K311" s="3"/>
      <c r="L311" s="3" t="s">
        <v>49</v>
      </c>
      <c r="M311" s="3" t="s">
        <v>521</v>
      </c>
      <c r="N311" s="3"/>
    </row>
    <row r="312" customFormat="false" ht="15" hidden="false" customHeight="true" outlineLevel="0" collapsed="false">
      <c r="A312" s="3" t="s">
        <v>616</v>
      </c>
      <c r="B312" s="3" t="s">
        <v>517</v>
      </c>
      <c r="C312" s="3" t="s">
        <v>495</v>
      </c>
      <c r="D312" s="3" t="s">
        <v>518</v>
      </c>
      <c r="E312" s="3" t="s">
        <v>617</v>
      </c>
      <c r="F312" s="3" t="s">
        <v>197</v>
      </c>
      <c r="G312" s="3" t="s">
        <v>532</v>
      </c>
      <c r="H312" s="3"/>
      <c r="I312" s="3"/>
      <c r="J312" s="4"/>
      <c r="K312" s="3" t="s">
        <v>141</v>
      </c>
      <c r="L312" s="3" t="s">
        <v>142</v>
      </c>
      <c r="M312" s="3" t="s">
        <v>521</v>
      </c>
      <c r="N312" s="3"/>
    </row>
    <row r="313" customFormat="false" ht="15" hidden="false" customHeight="true" outlineLevel="0" collapsed="false">
      <c r="A313" s="3" t="s">
        <v>618</v>
      </c>
      <c r="B313" s="3" t="s">
        <v>517</v>
      </c>
      <c r="C313" s="3" t="s">
        <v>495</v>
      </c>
      <c r="D313" s="3" t="s">
        <v>518</v>
      </c>
      <c r="E313" s="3" t="s">
        <v>550</v>
      </c>
      <c r="F313" s="3" t="s">
        <v>197</v>
      </c>
      <c r="G313" s="3" t="s">
        <v>532</v>
      </c>
      <c r="H313" s="3"/>
      <c r="I313" s="3"/>
      <c r="J313" s="4"/>
      <c r="K313" s="3" t="s">
        <v>141</v>
      </c>
      <c r="L313" s="3" t="s">
        <v>142</v>
      </c>
      <c r="M313" s="3" t="s">
        <v>521</v>
      </c>
      <c r="N313" s="3"/>
    </row>
    <row r="314" customFormat="false" ht="15" hidden="false" customHeight="true" outlineLevel="0" collapsed="false">
      <c r="A314" s="3" t="s">
        <v>619</v>
      </c>
      <c r="B314" s="3" t="s">
        <v>517</v>
      </c>
      <c r="C314" s="3" t="s">
        <v>495</v>
      </c>
      <c r="D314" s="3" t="s">
        <v>518</v>
      </c>
      <c r="E314" s="3" t="s">
        <v>617</v>
      </c>
      <c r="F314" s="3" t="s">
        <v>197</v>
      </c>
      <c r="G314" s="3" t="s">
        <v>532</v>
      </c>
      <c r="H314" s="3"/>
      <c r="I314" s="3"/>
      <c r="J314" s="4"/>
      <c r="K314" s="3" t="s">
        <v>141</v>
      </c>
      <c r="L314" s="3" t="s">
        <v>142</v>
      </c>
      <c r="M314" s="3" t="s">
        <v>521</v>
      </c>
      <c r="N314" s="3"/>
    </row>
    <row r="315" customFormat="false" ht="15" hidden="false" customHeight="true" outlineLevel="0" collapsed="false">
      <c r="A315" s="3" t="s">
        <v>620</v>
      </c>
      <c r="B315" s="3" t="s">
        <v>517</v>
      </c>
      <c r="C315" s="3" t="s">
        <v>495</v>
      </c>
      <c r="D315" s="3" t="s">
        <v>518</v>
      </c>
      <c r="E315" s="3" t="s">
        <v>547</v>
      </c>
      <c r="F315" s="3" t="s">
        <v>197</v>
      </c>
      <c r="G315" s="3" t="s">
        <v>532</v>
      </c>
      <c r="H315" s="3"/>
      <c r="I315" s="3"/>
      <c r="J315" s="4"/>
      <c r="K315" s="3" t="s">
        <v>141</v>
      </c>
      <c r="L315" s="3" t="s">
        <v>142</v>
      </c>
      <c r="M315" s="3" t="s">
        <v>521</v>
      </c>
      <c r="N315" s="3"/>
    </row>
    <row r="316" customFormat="false" ht="15" hidden="false" customHeight="true" outlineLevel="0" collapsed="false">
      <c r="A316" s="3" t="s">
        <v>621</v>
      </c>
      <c r="B316" s="3" t="s">
        <v>517</v>
      </c>
      <c r="C316" s="3" t="s">
        <v>495</v>
      </c>
      <c r="D316" s="3" t="s">
        <v>518</v>
      </c>
      <c r="E316" s="3" t="s">
        <v>591</v>
      </c>
      <c r="F316" s="3" t="s">
        <v>197</v>
      </c>
      <c r="G316" s="3" t="s">
        <v>532</v>
      </c>
      <c r="H316" s="3"/>
      <c r="I316" s="3"/>
      <c r="J316" s="4"/>
      <c r="K316" s="3" t="s">
        <v>622</v>
      </c>
      <c r="L316" s="3" t="s">
        <v>47</v>
      </c>
      <c r="M316" s="3" t="s">
        <v>521</v>
      </c>
      <c r="N316" s="3"/>
    </row>
    <row r="317" customFormat="false" ht="15" hidden="false" customHeight="true" outlineLevel="0" collapsed="false">
      <c r="A317" s="3" t="s">
        <v>623</v>
      </c>
      <c r="B317" s="3" t="s">
        <v>517</v>
      </c>
      <c r="C317" s="3" t="s">
        <v>495</v>
      </c>
      <c r="D317" s="3" t="s">
        <v>518</v>
      </c>
      <c r="E317" s="3" t="s">
        <v>550</v>
      </c>
      <c r="F317" s="3" t="s">
        <v>197</v>
      </c>
      <c r="G317" s="3" t="s">
        <v>532</v>
      </c>
      <c r="H317" s="3"/>
      <c r="I317" s="3"/>
      <c r="J317" s="4"/>
      <c r="K317" s="3" t="s">
        <v>624</v>
      </c>
      <c r="L317" s="3" t="s">
        <v>47</v>
      </c>
      <c r="M317" s="3" t="s">
        <v>521</v>
      </c>
      <c r="N317" s="3"/>
    </row>
    <row r="318" customFormat="false" ht="15" hidden="false" customHeight="true" outlineLevel="0" collapsed="false">
      <c r="A318" s="3" t="s">
        <v>625</v>
      </c>
      <c r="B318" s="3" t="s">
        <v>517</v>
      </c>
      <c r="C318" s="3" t="s">
        <v>495</v>
      </c>
      <c r="D318" s="3" t="s">
        <v>518</v>
      </c>
      <c r="E318" s="3" t="s">
        <v>591</v>
      </c>
      <c r="F318" s="3" t="s">
        <v>197</v>
      </c>
      <c r="G318" s="3" t="s">
        <v>532</v>
      </c>
      <c r="H318" s="3"/>
      <c r="I318" s="3"/>
      <c r="J318" s="4"/>
      <c r="K318" s="3" t="s">
        <v>592</v>
      </c>
      <c r="L318" s="3" t="s">
        <v>142</v>
      </c>
      <c r="M318" s="3" t="s">
        <v>521</v>
      </c>
      <c r="N318" s="3"/>
    </row>
    <row r="319" customFormat="false" ht="15" hidden="false" customHeight="true" outlineLevel="0" collapsed="false">
      <c r="A319" s="3" t="s">
        <v>626</v>
      </c>
      <c r="B319" s="3" t="s">
        <v>517</v>
      </c>
      <c r="C319" s="3" t="s">
        <v>495</v>
      </c>
      <c r="D319" s="3" t="s">
        <v>518</v>
      </c>
      <c r="E319" s="3" t="s">
        <v>591</v>
      </c>
      <c r="F319" s="3" t="s">
        <v>197</v>
      </c>
      <c r="G319" s="3" t="s">
        <v>532</v>
      </c>
      <c r="H319" s="3"/>
      <c r="I319" s="3"/>
      <c r="J319" s="4"/>
      <c r="K319" s="3" t="s">
        <v>592</v>
      </c>
      <c r="L319" s="3" t="s">
        <v>142</v>
      </c>
      <c r="M319" s="3" t="s">
        <v>521</v>
      </c>
      <c r="N319" s="3"/>
    </row>
    <row r="320" customFormat="false" ht="15" hidden="false" customHeight="true" outlineLevel="0" collapsed="false">
      <c r="A320" s="3" t="s">
        <v>627</v>
      </c>
      <c r="B320" s="3" t="s">
        <v>517</v>
      </c>
      <c r="C320" s="3" t="s">
        <v>495</v>
      </c>
      <c r="D320" s="3" t="s">
        <v>518</v>
      </c>
      <c r="E320" s="3" t="s">
        <v>591</v>
      </c>
      <c r="F320" s="3" t="s">
        <v>197</v>
      </c>
      <c r="G320" s="3" t="s">
        <v>532</v>
      </c>
      <c r="H320" s="3"/>
      <c r="I320" s="3"/>
      <c r="J320" s="4"/>
      <c r="K320" s="3" t="s">
        <v>592</v>
      </c>
      <c r="L320" s="3" t="s">
        <v>142</v>
      </c>
      <c r="M320" s="3" t="s">
        <v>521</v>
      </c>
      <c r="N320" s="3"/>
    </row>
    <row r="321" customFormat="false" ht="15" hidden="false" customHeight="true" outlineLevel="0" collapsed="false">
      <c r="A321" s="3" t="s">
        <v>628</v>
      </c>
      <c r="B321" s="3" t="s">
        <v>517</v>
      </c>
      <c r="C321" s="3" t="s">
        <v>495</v>
      </c>
      <c r="D321" s="3" t="s">
        <v>518</v>
      </c>
      <c r="E321" s="3" t="s">
        <v>519</v>
      </c>
      <c r="F321" s="3" t="s">
        <v>197</v>
      </c>
      <c r="G321" s="3" t="s">
        <v>532</v>
      </c>
      <c r="H321" s="3"/>
      <c r="I321" s="3"/>
      <c r="J321" s="4"/>
      <c r="K321" s="3" t="s">
        <v>520</v>
      </c>
      <c r="L321" s="3" t="s">
        <v>142</v>
      </c>
      <c r="M321" s="3" t="s">
        <v>521</v>
      </c>
      <c r="N321" s="3"/>
    </row>
    <row r="322" customFormat="false" ht="15" hidden="false" customHeight="true" outlineLevel="0" collapsed="false">
      <c r="A322" s="3" t="s">
        <v>629</v>
      </c>
      <c r="B322" s="3" t="s">
        <v>517</v>
      </c>
      <c r="C322" s="3" t="s">
        <v>495</v>
      </c>
      <c r="D322" s="3" t="s">
        <v>518</v>
      </c>
      <c r="E322" s="3" t="s">
        <v>591</v>
      </c>
      <c r="F322" s="3" t="s">
        <v>197</v>
      </c>
      <c r="G322" s="3" t="s">
        <v>532</v>
      </c>
      <c r="H322" s="3"/>
      <c r="I322" s="3"/>
      <c r="J322" s="4"/>
      <c r="K322" s="3" t="s">
        <v>592</v>
      </c>
      <c r="L322" s="3" t="s">
        <v>142</v>
      </c>
      <c r="M322" s="3" t="s">
        <v>521</v>
      </c>
      <c r="N322" s="3"/>
    </row>
    <row r="323" customFormat="false" ht="15" hidden="false" customHeight="true" outlineLevel="0" collapsed="false">
      <c r="A323" s="3" t="s">
        <v>630</v>
      </c>
      <c r="B323" s="3" t="s">
        <v>517</v>
      </c>
      <c r="C323" s="3" t="s">
        <v>495</v>
      </c>
      <c r="D323" s="3" t="s">
        <v>518</v>
      </c>
      <c r="E323" s="3" t="s">
        <v>591</v>
      </c>
      <c r="F323" s="3" t="s">
        <v>197</v>
      </c>
      <c r="G323" s="3" t="s">
        <v>532</v>
      </c>
      <c r="H323" s="3"/>
      <c r="I323" s="3"/>
      <c r="J323" s="4"/>
      <c r="K323" s="3" t="s">
        <v>598</v>
      </c>
      <c r="L323" s="3" t="s">
        <v>142</v>
      </c>
      <c r="M323" s="3" t="s">
        <v>521</v>
      </c>
      <c r="N323" s="3"/>
    </row>
    <row r="324" customFormat="false" ht="15" hidden="false" customHeight="true" outlineLevel="0" collapsed="false">
      <c r="A324" s="3" t="s">
        <v>631</v>
      </c>
      <c r="B324" s="3" t="s">
        <v>517</v>
      </c>
      <c r="C324" s="3" t="s">
        <v>495</v>
      </c>
      <c r="D324" s="3" t="s">
        <v>518</v>
      </c>
      <c r="E324" s="3" t="s">
        <v>519</v>
      </c>
      <c r="F324" s="3" t="s">
        <v>197</v>
      </c>
      <c r="G324" s="3" t="s">
        <v>532</v>
      </c>
      <c r="H324" s="3"/>
      <c r="I324" s="3"/>
      <c r="J324" s="4"/>
      <c r="K324" s="3" t="s">
        <v>520</v>
      </c>
      <c r="L324" s="3" t="s">
        <v>142</v>
      </c>
      <c r="M324" s="3" t="s">
        <v>521</v>
      </c>
      <c r="N324" s="3"/>
    </row>
    <row r="325" customFormat="false" ht="15" hidden="false" customHeight="true" outlineLevel="0" collapsed="false">
      <c r="A325" s="3" t="s">
        <v>632</v>
      </c>
      <c r="B325" s="3" t="s">
        <v>517</v>
      </c>
      <c r="C325" s="3" t="s">
        <v>495</v>
      </c>
      <c r="D325" s="3" t="s">
        <v>518</v>
      </c>
      <c r="E325" s="3" t="s">
        <v>591</v>
      </c>
      <c r="F325" s="3" t="s">
        <v>197</v>
      </c>
      <c r="G325" s="3" t="s">
        <v>532</v>
      </c>
      <c r="H325" s="3"/>
      <c r="I325" s="3"/>
      <c r="J325" s="4"/>
      <c r="K325" s="3" t="s">
        <v>592</v>
      </c>
      <c r="L325" s="3" t="s">
        <v>142</v>
      </c>
      <c r="M325" s="3" t="s">
        <v>521</v>
      </c>
      <c r="N325" s="3"/>
    </row>
    <row r="326" customFormat="false" ht="15" hidden="false" customHeight="true" outlineLevel="0" collapsed="false">
      <c r="A326" s="3" t="s">
        <v>633</v>
      </c>
      <c r="B326" s="3" t="s">
        <v>517</v>
      </c>
      <c r="C326" s="3" t="s">
        <v>495</v>
      </c>
      <c r="D326" s="3" t="s">
        <v>518</v>
      </c>
      <c r="E326" s="3" t="s">
        <v>547</v>
      </c>
      <c r="F326" s="3" t="s">
        <v>197</v>
      </c>
      <c r="G326" s="3" t="s">
        <v>532</v>
      </c>
      <c r="H326" s="3"/>
      <c r="I326" s="3"/>
      <c r="J326" s="4"/>
      <c r="K326" s="3" t="s">
        <v>260</v>
      </c>
      <c r="L326" s="3" t="s">
        <v>142</v>
      </c>
      <c r="M326" s="3" t="s">
        <v>521</v>
      </c>
      <c r="N326" s="3"/>
    </row>
    <row r="327" customFormat="false" ht="15" hidden="false" customHeight="true" outlineLevel="0" collapsed="false">
      <c r="A327" s="3" t="s">
        <v>634</v>
      </c>
      <c r="B327" s="3" t="s">
        <v>517</v>
      </c>
      <c r="C327" s="3" t="s">
        <v>495</v>
      </c>
      <c r="D327" s="3" t="s">
        <v>518</v>
      </c>
      <c r="E327" s="3" t="s">
        <v>547</v>
      </c>
      <c r="F327" s="3" t="s">
        <v>197</v>
      </c>
      <c r="G327" s="3" t="s">
        <v>532</v>
      </c>
      <c r="H327" s="3"/>
      <c r="I327" s="3"/>
      <c r="J327" s="4"/>
      <c r="K327" s="3" t="s">
        <v>592</v>
      </c>
      <c r="L327" s="3" t="s">
        <v>142</v>
      </c>
      <c r="M327" s="3" t="s">
        <v>521</v>
      </c>
      <c r="N327" s="3"/>
    </row>
    <row r="328" customFormat="false" ht="15" hidden="false" customHeight="true" outlineLevel="0" collapsed="false">
      <c r="A328" s="3" t="s">
        <v>635</v>
      </c>
      <c r="B328" s="3" t="s">
        <v>517</v>
      </c>
      <c r="C328" s="3" t="s">
        <v>495</v>
      </c>
      <c r="D328" s="3" t="s">
        <v>518</v>
      </c>
      <c r="E328" s="3" t="s">
        <v>547</v>
      </c>
      <c r="F328" s="3" t="s">
        <v>197</v>
      </c>
      <c r="G328" s="3" t="s">
        <v>532</v>
      </c>
      <c r="H328" s="3"/>
      <c r="I328" s="3"/>
      <c r="J328" s="4"/>
      <c r="K328" s="3" t="s">
        <v>260</v>
      </c>
      <c r="L328" s="3" t="s">
        <v>142</v>
      </c>
      <c r="M328" s="3" t="s">
        <v>521</v>
      </c>
      <c r="N328" s="3"/>
    </row>
    <row r="329" customFormat="false" ht="15" hidden="false" customHeight="true" outlineLevel="0" collapsed="false">
      <c r="A329" s="3" t="s">
        <v>636</v>
      </c>
      <c r="B329" s="3" t="s">
        <v>517</v>
      </c>
      <c r="C329" s="3" t="s">
        <v>495</v>
      </c>
      <c r="D329" s="3" t="s">
        <v>518</v>
      </c>
      <c r="E329" s="3" t="s">
        <v>550</v>
      </c>
      <c r="F329" s="3" t="s">
        <v>197</v>
      </c>
      <c r="G329" s="3" t="s">
        <v>532</v>
      </c>
      <c r="H329" s="3"/>
      <c r="I329" s="3"/>
      <c r="J329" s="4"/>
      <c r="K329" s="3" t="s">
        <v>598</v>
      </c>
      <c r="L329" s="3" t="s">
        <v>142</v>
      </c>
      <c r="M329" s="3" t="s">
        <v>521</v>
      </c>
      <c r="N329" s="3"/>
    </row>
    <row r="330" customFormat="false" ht="15" hidden="false" customHeight="true" outlineLevel="0" collapsed="false">
      <c r="A330" s="3" t="s">
        <v>637</v>
      </c>
      <c r="B330" s="3" t="s">
        <v>517</v>
      </c>
      <c r="C330" s="3" t="s">
        <v>495</v>
      </c>
      <c r="D330" s="3" t="s">
        <v>518</v>
      </c>
      <c r="E330" s="3" t="s">
        <v>519</v>
      </c>
      <c r="F330" s="3" t="s">
        <v>197</v>
      </c>
      <c r="G330" s="3" t="s">
        <v>532</v>
      </c>
      <c r="H330" s="3"/>
      <c r="I330" s="3"/>
      <c r="J330" s="4"/>
      <c r="K330" s="3" t="s">
        <v>520</v>
      </c>
      <c r="L330" s="3" t="s">
        <v>142</v>
      </c>
      <c r="M330" s="3" t="s">
        <v>521</v>
      </c>
      <c r="N330" s="3"/>
    </row>
    <row r="331" customFormat="false" ht="15" hidden="false" customHeight="true" outlineLevel="0" collapsed="false">
      <c r="A331" s="3" t="s">
        <v>638</v>
      </c>
      <c r="B331" s="3" t="s">
        <v>517</v>
      </c>
      <c r="C331" s="3" t="s">
        <v>495</v>
      </c>
      <c r="D331" s="3" t="s">
        <v>518</v>
      </c>
      <c r="E331" s="3" t="s">
        <v>519</v>
      </c>
      <c r="F331" s="3" t="s">
        <v>197</v>
      </c>
      <c r="G331" s="3" t="s">
        <v>532</v>
      </c>
      <c r="H331" s="3"/>
      <c r="I331" s="3"/>
      <c r="J331" s="4"/>
      <c r="K331" s="3" t="s">
        <v>520</v>
      </c>
      <c r="L331" s="3" t="s">
        <v>142</v>
      </c>
      <c r="M331" s="3" t="s">
        <v>521</v>
      </c>
      <c r="N331" s="3"/>
    </row>
    <row r="332" customFormat="false" ht="15" hidden="false" customHeight="true" outlineLevel="0" collapsed="false">
      <c r="A332" s="3" t="s">
        <v>639</v>
      </c>
      <c r="B332" s="3" t="s">
        <v>517</v>
      </c>
      <c r="C332" s="3" t="s">
        <v>495</v>
      </c>
      <c r="D332" s="3" t="s">
        <v>518</v>
      </c>
      <c r="E332" s="3" t="s">
        <v>547</v>
      </c>
      <c r="F332" s="3" t="s">
        <v>197</v>
      </c>
      <c r="G332" s="3" t="s">
        <v>532</v>
      </c>
      <c r="H332" s="3"/>
      <c r="I332" s="3"/>
      <c r="J332" s="4"/>
      <c r="K332" s="3" t="s">
        <v>592</v>
      </c>
      <c r="L332" s="3" t="s">
        <v>142</v>
      </c>
      <c r="M332" s="3" t="s">
        <v>521</v>
      </c>
      <c r="N332" s="3"/>
    </row>
    <row r="333" customFormat="false" ht="15" hidden="false" customHeight="true" outlineLevel="0" collapsed="false">
      <c r="A333" s="3" t="s">
        <v>640</v>
      </c>
      <c r="B333" s="3" t="s">
        <v>517</v>
      </c>
      <c r="C333" s="3" t="s">
        <v>495</v>
      </c>
      <c r="D333" s="3" t="s">
        <v>518</v>
      </c>
      <c r="E333" s="3" t="s">
        <v>591</v>
      </c>
      <c r="F333" s="3" t="s">
        <v>197</v>
      </c>
      <c r="G333" s="3" t="s">
        <v>532</v>
      </c>
      <c r="H333" s="3"/>
      <c r="I333" s="3"/>
      <c r="J333" s="4"/>
      <c r="K333" s="3" t="s">
        <v>598</v>
      </c>
      <c r="L333" s="3" t="s">
        <v>142</v>
      </c>
      <c r="M333" s="3" t="s">
        <v>521</v>
      </c>
      <c r="N333" s="3"/>
    </row>
    <row r="334" customFormat="false" ht="15" hidden="false" customHeight="true" outlineLevel="0" collapsed="false">
      <c r="A334" s="3" t="s">
        <v>641</v>
      </c>
      <c r="B334" s="3" t="s">
        <v>517</v>
      </c>
      <c r="C334" s="3" t="s">
        <v>495</v>
      </c>
      <c r="D334" s="3" t="s">
        <v>518</v>
      </c>
      <c r="E334" s="3" t="s">
        <v>591</v>
      </c>
      <c r="F334" s="3" t="s">
        <v>197</v>
      </c>
      <c r="G334" s="3" t="s">
        <v>532</v>
      </c>
      <c r="H334" s="3"/>
      <c r="I334" s="3"/>
      <c r="J334" s="4"/>
      <c r="K334" s="3" t="s">
        <v>598</v>
      </c>
      <c r="L334" s="3" t="s">
        <v>142</v>
      </c>
      <c r="M334" s="3" t="s">
        <v>521</v>
      </c>
      <c r="N334" s="3"/>
    </row>
    <row r="335" customFormat="false" ht="15" hidden="false" customHeight="true" outlineLevel="0" collapsed="false">
      <c r="A335" s="3" t="s">
        <v>642</v>
      </c>
      <c r="B335" s="3" t="s">
        <v>517</v>
      </c>
      <c r="C335" s="3" t="s">
        <v>495</v>
      </c>
      <c r="D335" s="3" t="s">
        <v>518</v>
      </c>
      <c r="E335" s="3" t="s">
        <v>591</v>
      </c>
      <c r="F335" s="3" t="s">
        <v>197</v>
      </c>
      <c r="G335" s="3" t="s">
        <v>532</v>
      </c>
      <c r="H335" s="3"/>
      <c r="I335" s="3"/>
      <c r="J335" s="4"/>
      <c r="K335" s="3" t="s">
        <v>598</v>
      </c>
      <c r="L335" s="3" t="s">
        <v>142</v>
      </c>
      <c r="M335" s="3" t="s">
        <v>521</v>
      </c>
      <c r="N335" s="3"/>
    </row>
    <row r="336" customFormat="false" ht="15" hidden="false" customHeight="true" outlineLevel="0" collapsed="false">
      <c r="A336" s="3" t="s">
        <v>643</v>
      </c>
      <c r="B336" s="3" t="s">
        <v>517</v>
      </c>
      <c r="C336" s="3" t="s">
        <v>495</v>
      </c>
      <c r="D336" s="3" t="s">
        <v>518</v>
      </c>
      <c r="E336" s="3" t="s">
        <v>591</v>
      </c>
      <c r="F336" s="3" t="s">
        <v>197</v>
      </c>
      <c r="G336" s="3" t="s">
        <v>532</v>
      </c>
      <c r="H336" s="3"/>
      <c r="I336" s="3"/>
      <c r="J336" s="4"/>
      <c r="K336" s="3" t="s">
        <v>598</v>
      </c>
      <c r="L336" s="3" t="s">
        <v>142</v>
      </c>
      <c r="M336" s="3" t="s">
        <v>521</v>
      </c>
      <c r="N336" s="3"/>
    </row>
    <row r="337" customFormat="false" ht="15" hidden="false" customHeight="true" outlineLevel="0" collapsed="false">
      <c r="A337" s="3" t="s">
        <v>644</v>
      </c>
      <c r="B337" s="3" t="s">
        <v>517</v>
      </c>
      <c r="C337" s="3" t="s">
        <v>495</v>
      </c>
      <c r="D337" s="3" t="s">
        <v>518</v>
      </c>
      <c r="E337" s="3" t="s">
        <v>591</v>
      </c>
      <c r="F337" s="3" t="s">
        <v>197</v>
      </c>
      <c r="G337" s="3" t="s">
        <v>532</v>
      </c>
      <c r="H337" s="3"/>
      <c r="I337" s="3"/>
      <c r="J337" s="4"/>
      <c r="K337" s="3" t="s">
        <v>598</v>
      </c>
      <c r="L337" s="3" t="s">
        <v>142</v>
      </c>
      <c r="M337" s="3" t="s">
        <v>521</v>
      </c>
      <c r="N337" s="3"/>
    </row>
    <row r="338" customFormat="false" ht="15" hidden="false" customHeight="true" outlineLevel="0" collapsed="false">
      <c r="A338" s="3" t="s">
        <v>645</v>
      </c>
      <c r="B338" s="3" t="s">
        <v>529</v>
      </c>
      <c r="C338" s="3" t="s">
        <v>495</v>
      </c>
      <c r="D338" s="3" t="s">
        <v>530</v>
      </c>
      <c r="E338" s="3" t="s">
        <v>555</v>
      </c>
      <c r="F338" s="3" t="s">
        <v>531</v>
      </c>
      <c r="G338" s="3" t="s">
        <v>532</v>
      </c>
      <c r="H338" s="3"/>
      <c r="I338" s="3"/>
      <c r="J338" s="4"/>
      <c r="K338" s="3" t="s">
        <v>592</v>
      </c>
      <c r="L338" s="3" t="s">
        <v>142</v>
      </c>
      <c r="M338" s="3" t="s">
        <v>533</v>
      </c>
      <c r="N338" s="3"/>
    </row>
    <row r="339" customFormat="false" ht="15" hidden="false" customHeight="true" outlineLevel="0" collapsed="false">
      <c r="A339" s="3" t="s">
        <v>646</v>
      </c>
      <c r="B339" s="3" t="s">
        <v>517</v>
      </c>
      <c r="C339" s="3" t="s">
        <v>495</v>
      </c>
      <c r="D339" s="3" t="s">
        <v>518</v>
      </c>
      <c r="E339" s="3" t="s">
        <v>591</v>
      </c>
      <c r="F339" s="3" t="s">
        <v>197</v>
      </c>
      <c r="G339" s="3" t="s">
        <v>532</v>
      </c>
      <c r="H339" s="3"/>
      <c r="I339" s="3"/>
      <c r="J339" s="4"/>
      <c r="K339" s="3" t="s">
        <v>592</v>
      </c>
      <c r="L339" s="3" t="s">
        <v>142</v>
      </c>
      <c r="M339" s="3" t="s">
        <v>521</v>
      </c>
      <c r="N339" s="3"/>
    </row>
    <row r="340" customFormat="false" ht="15" hidden="false" customHeight="true" outlineLevel="0" collapsed="false">
      <c r="A340" s="3" t="s">
        <v>647</v>
      </c>
      <c r="B340" s="3" t="s">
        <v>517</v>
      </c>
      <c r="C340" s="3" t="s">
        <v>495</v>
      </c>
      <c r="D340" s="3" t="s">
        <v>518</v>
      </c>
      <c r="E340" s="3" t="s">
        <v>591</v>
      </c>
      <c r="F340" s="3" t="s">
        <v>197</v>
      </c>
      <c r="G340" s="3" t="s">
        <v>532</v>
      </c>
      <c r="H340" s="3"/>
      <c r="I340" s="3"/>
      <c r="J340" s="4"/>
      <c r="K340" s="3" t="s">
        <v>592</v>
      </c>
      <c r="L340" s="3" t="s">
        <v>142</v>
      </c>
      <c r="M340" s="3" t="s">
        <v>521</v>
      </c>
      <c r="N340" s="3"/>
    </row>
    <row r="341" customFormat="false" ht="15" hidden="false" customHeight="true" outlineLevel="0" collapsed="false">
      <c r="A341" s="3" t="s">
        <v>648</v>
      </c>
      <c r="B341" s="3" t="s">
        <v>517</v>
      </c>
      <c r="C341" s="3" t="s">
        <v>495</v>
      </c>
      <c r="D341" s="3" t="s">
        <v>518</v>
      </c>
      <c r="E341" s="3" t="s">
        <v>547</v>
      </c>
      <c r="F341" s="3" t="s">
        <v>197</v>
      </c>
      <c r="G341" s="3" t="s">
        <v>532</v>
      </c>
      <c r="H341" s="3"/>
      <c r="I341" s="3"/>
      <c r="J341" s="4"/>
      <c r="K341" s="3" t="s">
        <v>592</v>
      </c>
      <c r="L341" s="3" t="s">
        <v>142</v>
      </c>
      <c r="M341" s="3" t="s">
        <v>521</v>
      </c>
      <c r="N341" s="3"/>
    </row>
    <row r="342" customFormat="false" ht="15" hidden="false" customHeight="true" outlineLevel="0" collapsed="false">
      <c r="A342" s="3" t="s">
        <v>649</v>
      </c>
      <c r="B342" s="3" t="s">
        <v>517</v>
      </c>
      <c r="C342" s="3" t="s">
        <v>495</v>
      </c>
      <c r="D342" s="3" t="s">
        <v>518</v>
      </c>
      <c r="E342" s="3" t="s">
        <v>547</v>
      </c>
      <c r="F342" s="3" t="s">
        <v>197</v>
      </c>
      <c r="G342" s="3" t="s">
        <v>532</v>
      </c>
      <c r="H342" s="3"/>
      <c r="I342" s="3"/>
      <c r="J342" s="4"/>
      <c r="K342" s="3" t="s">
        <v>592</v>
      </c>
      <c r="L342" s="3" t="s">
        <v>142</v>
      </c>
      <c r="M342" s="3" t="s">
        <v>521</v>
      </c>
      <c r="N342" s="3"/>
    </row>
    <row r="343" customFormat="false" ht="15" hidden="false" customHeight="true" outlineLevel="0" collapsed="false">
      <c r="A343" s="3" t="s">
        <v>650</v>
      </c>
      <c r="B343" s="3" t="s">
        <v>517</v>
      </c>
      <c r="C343" s="3" t="s">
        <v>495</v>
      </c>
      <c r="D343" s="3" t="s">
        <v>518</v>
      </c>
      <c r="E343" s="3" t="s">
        <v>547</v>
      </c>
      <c r="F343" s="3" t="s">
        <v>197</v>
      </c>
      <c r="G343" s="3" t="s">
        <v>532</v>
      </c>
      <c r="H343" s="3"/>
      <c r="I343" s="3"/>
      <c r="J343" s="4"/>
      <c r="K343" s="3" t="s">
        <v>592</v>
      </c>
      <c r="L343" s="3" t="s">
        <v>142</v>
      </c>
      <c r="M343" s="3" t="s">
        <v>521</v>
      </c>
      <c r="N343" s="3"/>
    </row>
    <row r="344" customFormat="false" ht="15" hidden="false" customHeight="true" outlineLevel="0" collapsed="false">
      <c r="A344" s="3" t="s">
        <v>651</v>
      </c>
      <c r="B344" s="3" t="s">
        <v>517</v>
      </c>
      <c r="C344" s="3" t="s">
        <v>495</v>
      </c>
      <c r="D344" s="3" t="s">
        <v>518</v>
      </c>
      <c r="E344" s="3" t="s">
        <v>547</v>
      </c>
      <c r="F344" s="3" t="s">
        <v>197</v>
      </c>
      <c r="G344" s="3" t="s">
        <v>532</v>
      </c>
      <c r="H344" s="3"/>
      <c r="I344" s="3"/>
      <c r="J344" s="4"/>
      <c r="K344" s="3" t="s">
        <v>592</v>
      </c>
      <c r="L344" s="3" t="s">
        <v>142</v>
      </c>
      <c r="M344" s="3" t="s">
        <v>521</v>
      </c>
      <c r="N344" s="3"/>
    </row>
    <row r="345" customFormat="false" ht="15" hidden="false" customHeight="true" outlineLevel="0" collapsed="false">
      <c r="A345" s="3" t="s">
        <v>652</v>
      </c>
      <c r="B345" s="3" t="s">
        <v>517</v>
      </c>
      <c r="C345" s="3" t="s">
        <v>495</v>
      </c>
      <c r="D345" s="3" t="s">
        <v>518</v>
      </c>
      <c r="E345" s="3" t="s">
        <v>591</v>
      </c>
      <c r="F345" s="3" t="s">
        <v>197</v>
      </c>
      <c r="G345" s="3" t="s">
        <v>532</v>
      </c>
      <c r="H345" s="3"/>
      <c r="I345" s="3"/>
      <c r="J345" s="4"/>
      <c r="K345" s="3" t="s">
        <v>592</v>
      </c>
      <c r="L345" s="3" t="s">
        <v>142</v>
      </c>
      <c r="M345" s="3" t="s">
        <v>521</v>
      </c>
      <c r="N345" s="3"/>
    </row>
    <row r="346" customFormat="false" ht="15" hidden="false" customHeight="true" outlineLevel="0" collapsed="false">
      <c r="A346" s="3" t="s">
        <v>653</v>
      </c>
      <c r="B346" s="3" t="s">
        <v>517</v>
      </c>
      <c r="C346" s="3" t="s">
        <v>495</v>
      </c>
      <c r="D346" s="3" t="s">
        <v>518</v>
      </c>
      <c r="E346" s="3" t="s">
        <v>591</v>
      </c>
      <c r="F346" s="3" t="s">
        <v>197</v>
      </c>
      <c r="G346" s="3" t="s">
        <v>532</v>
      </c>
      <c r="H346" s="3"/>
      <c r="I346" s="3"/>
      <c r="J346" s="4"/>
      <c r="K346" s="3" t="s">
        <v>592</v>
      </c>
      <c r="L346" s="3" t="s">
        <v>142</v>
      </c>
      <c r="M346" s="3" t="s">
        <v>521</v>
      </c>
      <c r="N346" s="3"/>
    </row>
    <row r="347" customFormat="false" ht="15" hidden="false" customHeight="true" outlineLevel="0" collapsed="false">
      <c r="A347" s="3" t="s">
        <v>654</v>
      </c>
      <c r="B347" s="3" t="s">
        <v>517</v>
      </c>
      <c r="C347" s="3" t="s">
        <v>495</v>
      </c>
      <c r="D347" s="3" t="s">
        <v>518</v>
      </c>
      <c r="E347" s="3" t="s">
        <v>591</v>
      </c>
      <c r="F347" s="3" t="s">
        <v>197</v>
      </c>
      <c r="G347" s="3" t="s">
        <v>532</v>
      </c>
      <c r="H347" s="3"/>
      <c r="I347" s="3"/>
      <c r="J347" s="4"/>
      <c r="K347" s="3" t="s">
        <v>592</v>
      </c>
      <c r="L347" s="3" t="s">
        <v>142</v>
      </c>
      <c r="M347" s="3" t="s">
        <v>521</v>
      </c>
      <c r="N347" s="3"/>
    </row>
    <row r="348" customFormat="false" ht="15" hidden="false" customHeight="true" outlineLevel="0" collapsed="false">
      <c r="A348" s="3" t="s">
        <v>655</v>
      </c>
      <c r="B348" s="3" t="s">
        <v>517</v>
      </c>
      <c r="C348" s="3" t="s">
        <v>495</v>
      </c>
      <c r="D348" s="3" t="s">
        <v>518</v>
      </c>
      <c r="E348" s="3" t="s">
        <v>547</v>
      </c>
      <c r="F348" s="3" t="s">
        <v>197</v>
      </c>
      <c r="G348" s="3" t="s">
        <v>532</v>
      </c>
      <c r="H348" s="3"/>
      <c r="I348" s="3"/>
      <c r="J348" s="4"/>
      <c r="K348" s="3" t="s">
        <v>592</v>
      </c>
      <c r="L348" s="3" t="s">
        <v>142</v>
      </c>
      <c r="M348" s="3" t="s">
        <v>521</v>
      </c>
      <c r="N348" s="3"/>
    </row>
    <row r="349" customFormat="false" ht="15" hidden="false" customHeight="true" outlineLevel="0" collapsed="false">
      <c r="A349" s="3" t="s">
        <v>656</v>
      </c>
      <c r="B349" s="3" t="s">
        <v>517</v>
      </c>
      <c r="C349" s="3" t="s">
        <v>495</v>
      </c>
      <c r="D349" s="3" t="s">
        <v>518</v>
      </c>
      <c r="E349" s="3" t="s">
        <v>591</v>
      </c>
      <c r="F349" s="3" t="s">
        <v>197</v>
      </c>
      <c r="G349" s="3" t="s">
        <v>532</v>
      </c>
      <c r="H349" s="3"/>
      <c r="I349" s="3"/>
      <c r="J349" s="4"/>
      <c r="K349" s="3" t="s">
        <v>260</v>
      </c>
      <c r="L349" s="3" t="s">
        <v>142</v>
      </c>
      <c r="M349" s="3" t="s">
        <v>521</v>
      </c>
      <c r="N349" s="3"/>
    </row>
    <row r="350" customFormat="false" ht="15" hidden="false" customHeight="true" outlineLevel="0" collapsed="false">
      <c r="A350" s="3" t="s">
        <v>657</v>
      </c>
      <c r="B350" s="3" t="s">
        <v>517</v>
      </c>
      <c r="C350" s="3" t="s">
        <v>495</v>
      </c>
      <c r="D350" s="3" t="s">
        <v>518</v>
      </c>
      <c r="E350" s="3" t="s">
        <v>591</v>
      </c>
      <c r="F350" s="3" t="s">
        <v>197</v>
      </c>
      <c r="G350" s="3" t="s">
        <v>532</v>
      </c>
      <c r="H350" s="3"/>
      <c r="I350" s="3"/>
      <c r="J350" s="4"/>
      <c r="K350" s="3" t="s">
        <v>592</v>
      </c>
      <c r="L350" s="3" t="s">
        <v>142</v>
      </c>
      <c r="M350" s="3" t="s">
        <v>521</v>
      </c>
      <c r="N350" s="3"/>
    </row>
    <row r="351" customFormat="false" ht="15" hidden="false" customHeight="true" outlineLevel="0" collapsed="false">
      <c r="A351" s="3" t="s">
        <v>658</v>
      </c>
      <c r="B351" s="3" t="s">
        <v>517</v>
      </c>
      <c r="C351" s="3" t="s">
        <v>495</v>
      </c>
      <c r="D351" s="3" t="s">
        <v>518</v>
      </c>
      <c r="E351" s="3" t="s">
        <v>547</v>
      </c>
      <c r="F351" s="3" t="s">
        <v>197</v>
      </c>
      <c r="G351" s="3" t="s">
        <v>532</v>
      </c>
      <c r="H351" s="3"/>
      <c r="I351" s="3"/>
      <c r="J351" s="4"/>
      <c r="K351" s="3" t="s">
        <v>598</v>
      </c>
      <c r="L351" s="3" t="s">
        <v>142</v>
      </c>
      <c r="M351" s="3" t="s">
        <v>521</v>
      </c>
      <c r="N351" s="3"/>
    </row>
    <row r="352" customFormat="false" ht="15" hidden="false" customHeight="true" outlineLevel="0" collapsed="false">
      <c r="A352" s="3" t="s">
        <v>659</v>
      </c>
      <c r="B352" s="3" t="s">
        <v>517</v>
      </c>
      <c r="C352" s="3" t="s">
        <v>495</v>
      </c>
      <c r="D352" s="3" t="s">
        <v>518</v>
      </c>
      <c r="E352" s="3" t="s">
        <v>547</v>
      </c>
      <c r="F352" s="3" t="s">
        <v>197</v>
      </c>
      <c r="G352" s="3" t="s">
        <v>532</v>
      </c>
      <c r="H352" s="3"/>
      <c r="I352" s="3"/>
      <c r="J352" s="4"/>
      <c r="K352" s="3" t="s">
        <v>260</v>
      </c>
      <c r="L352" s="3" t="s">
        <v>142</v>
      </c>
      <c r="M352" s="3" t="s">
        <v>521</v>
      </c>
      <c r="N352" s="3"/>
    </row>
    <row r="353" customFormat="false" ht="15" hidden="false" customHeight="true" outlineLevel="0" collapsed="false">
      <c r="A353" s="3" t="s">
        <v>660</v>
      </c>
      <c r="B353" s="3" t="s">
        <v>517</v>
      </c>
      <c r="C353" s="3" t="s">
        <v>495</v>
      </c>
      <c r="D353" s="3" t="s">
        <v>518</v>
      </c>
      <c r="E353" s="3" t="s">
        <v>547</v>
      </c>
      <c r="F353" s="3" t="s">
        <v>197</v>
      </c>
      <c r="G353" s="3" t="s">
        <v>532</v>
      </c>
      <c r="H353" s="3"/>
      <c r="I353" s="3"/>
      <c r="J353" s="4"/>
      <c r="K353" s="3" t="s">
        <v>260</v>
      </c>
      <c r="L353" s="3" t="s">
        <v>142</v>
      </c>
      <c r="M353" s="3" t="s">
        <v>521</v>
      </c>
      <c r="N353" s="3"/>
    </row>
    <row r="354" customFormat="false" ht="15" hidden="false" customHeight="true" outlineLevel="0" collapsed="false">
      <c r="A354" s="3" t="s">
        <v>661</v>
      </c>
      <c r="B354" s="3" t="s">
        <v>517</v>
      </c>
      <c r="C354" s="3" t="s">
        <v>495</v>
      </c>
      <c r="D354" s="3" t="s">
        <v>518</v>
      </c>
      <c r="E354" s="3" t="s">
        <v>547</v>
      </c>
      <c r="F354" s="3" t="s">
        <v>197</v>
      </c>
      <c r="G354" s="3" t="s">
        <v>532</v>
      </c>
      <c r="H354" s="3"/>
      <c r="I354" s="3"/>
      <c r="J354" s="4"/>
      <c r="K354" s="3" t="s">
        <v>260</v>
      </c>
      <c r="L354" s="3" t="s">
        <v>142</v>
      </c>
      <c r="M354" s="3" t="s">
        <v>521</v>
      </c>
      <c r="N354" s="3"/>
    </row>
    <row r="355" customFormat="false" ht="15" hidden="false" customHeight="true" outlineLevel="0" collapsed="false">
      <c r="A355" s="3" t="s">
        <v>662</v>
      </c>
      <c r="B355" s="3" t="s">
        <v>517</v>
      </c>
      <c r="C355" s="3" t="s">
        <v>495</v>
      </c>
      <c r="D355" s="3" t="s">
        <v>518</v>
      </c>
      <c r="E355" s="3" t="s">
        <v>547</v>
      </c>
      <c r="F355" s="3" t="s">
        <v>197</v>
      </c>
      <c r="G355" s="3" t="s">
        <v>532</v>
      </c>
      <c r="H355" s="3"/>
      <c r="I355" s="3"/>
      <c r="J355" s="4"/>
      <c r="K355" s="3" t="s">
        <v>260</v>
      </c>
      <c r="L355" s="3" t="s">
        <v>142</v>
      </c>
      <c r="M355" s="3" t="s">
        <v>521</v>
      </c>
      <c r="N355" s="3"/>
    </row>
    <row r="356" customFormat="false" ht="15" hidden="false" customHeight="true" outlineLevel="0" collapsed="false">
      <c r="A356" s="3" t="s">
        <v>663</v>
      </c>
      <c r="B356" s="3" t="s">
        <v>517</v>
      </c>
      <c r="C356" s="3" t="s">
        <v>495</v>
      </c>
      <c r="D356" s="3" t="s">
        <v>518</v>
      </c>
      <c r="E356" s="3" t="s">
        <v>547</v>
      </c>
      <c r="F356" s="3" t="s">
        <v>197</v>
      </c>
      <c r="G356" s="3" t="s">
        <v>532</v>
      </c>
      <c r="H356" s="3"/>
      <c r="I356" s="3"/>
      <c r="J356" s="4"/>
      <c r="K356" s="3" t="s">
        <v>260</v>
      </c>
      <c r="L356" s="3" t="s">
        <v>142</v>
      </c>
      <c r="M356" s="3" t="s">
        <v>521</v>
      </c>
      <c r="N356" s="3"/>
    </row>
    <row r="357" customFormat="false" ht="15" hidden="false" customHeight="true" outlineLevel="0" collapsed="false">
      <c r="A357" s="3" t="s">
        <v>664</v>
      </c>
      <c r="B357" s="3" t="s">
        <v>517</v>
      </c>
      <c r="C357" s="3" t="s">
        <v>495</v>
      </c>
      <c r="D357" s="3" t="s">
        <v>518</v>
      </c>
      <c r="E357" s="3" t="s">
        <v>550</v>
      </c>
      <c r="F357" s="3" t="s">
        <v>197</v>
      </c>
      <c r="G357" s="3" t="s">
        <v>532</v>
      </c>
      <c r="H357" s="3"/>
      <c r="I357" s="3"/>
      <c r="J357" s="4"/>
      <c r="K357" s="3" t="s">
        <v>260</v>
      </c>
      <c r="L357" s="3" t="s">
        <v>142</v>
      </c>
      <c r="M357" s="3" t="s">
        <v>521</v>
      </c>
      <c r="N357" s="3"/>
    </row>
    <row r="358" customFormat="false" ht="15" hidden="false" customHeight="true" outlineLevel="0" collapsed="false">
      <c r="A358" s="3" t="s">
        <v>665</v>
      </c>
      <c r="B358" s="3" t="s">
        <v>517</v>
      </c>
      <c r="C358" s="3" t="s">
        <v>495</v>
      </c>
      <c r="D358" s="3" t="s">
        <v>518</v>
      </c>
      <c r="E358" s="3" t="s">
        <v>550</v>
      </c>
      <c r="F358" s="3" t="s">
        <v>197</v>
      </c>
      <c r="G358" s="3" t="s">
        <v>532</v>
      </c>
      <c r="H358" s="3"/>
      <c r="I358" s="3"/>
      <c r="J358" s="4"/>
      <c r="K358" s="3" t="s">
        <v>260</v>
      </c>
      <c r="L358" s="3" t="s">
        <v>142</v>
      </c>
      <c r="M358" s="3" t="s">
        <v>521</v>
      </c>
      <c r="N358" s="3"/>
    </row>
    <row r="359" customFormat="false" ht="15" hidden="false" customHeight="true" outlineLevel="0" collapsed="false">
      <c r="A359" s="3" t="s">
        <v>666</v>
      </c>
      <c r="B359" s="3" t="s">
        <v>517</v>
      </c>
      <c r="C359" s="3" t="s">
        <v>495</v>
      </c>
      <c r="D359" s="3" t="s">
        <v>518</v>
      </c>
      <c r="E359" s="3" t="s">
        <v>547</v>
      </c>
      <c r="F359" s="3" t="s">
        <v>197</v>
      </c>
      <c r="G359" s="3" t="s">
        <v>532</v>
      </c>
      <c r="H359" s="3"/>
      <c r="I359" s="3"/>
      <c r="J359" s="4"/>
      <c r="K359" s="3" t="s">
        <v>260</v>
      </c>
      <c r="L359" s="3" t="s">
        <v>142</v>
      </c>
      <c r="M359" s="3" t="s">
        <v>521</v>
      </c>
      <c r="N359" s="3"/>
    </row>
    <row r="360" customFormat="false" ht="15" hidden="false" customHeight="true" outlineLevel="0" collapsed="false">
      <c r="A360" s="3" t="s">
        <v>667</v>
      </c>
      <c r="B360" s="3" t="s">
        <v>517</v>
      </c>
      <c r="C360" s="3" t="s">
        <v>495</v>
      </c>
      <c r="D360" s="3" t="s">
        <v>518</v>
      </c>
      <c r="E360" s="3" t="s">
        <v>547</v>
      </c>
      <c r="F360" s="3" t="s">
        <v>197</v>
      </c>
      <c r="G360" s="3" t="s">
        <v>532</v>
      </c>
      <c r="H360" s="3"/>
      <c r="I360" s="3"/>
      <c r="J360" s="4"/>
      <c r="K360" s="3" t="s">
        <v>260</v>
      </c>
      <c r="L360" s="3" t="s">
        <v>142</v>
      </c>
      <c r="M360" s="3" t="s">
        <v>521</v>
      </c>
      <c r="N360" s="3"/>
    </row>
    <row r="361" customFormat="false" ht="15" hidden="false" customHeight="true" outlineLevel="0" collapsed="false">
      <c r="A361" s="3" t="s">
        <v>668</v>
      </c>
      <c r="B361" s="3" t="s">
        <v>517</v>
      </c>
      <c r="C361" s="3" t="s">
        <v>495</v>
      </c>
      <c r="D361" s="3" t="s">
        <v>518</v>
      </c>
      <c r="E361" s="3" t="s">
        <v>550</v>
      </c>
      <c r="F361" s="3" t="s">
        <v>197</v>
      </c>
      <c r="G361" s="3" t="s">
        <v>532</v>
      </c>
      <c r="H361" s="3"/>
      <c r="I361" s="3"/>
      <c r="J361" s="4"/>
      <c r="K361" s="3" t="s">
        <v>260</v>
      </c>
      <c r="L361" s="3" t="s">
        <v>142</v>
      </c>
      <c r="M361" s="3" t="s">
        <v>521</v>
      </c>
      <c r="N361" s="3"/>
    </row>
    <row r="362" customFormat="false" ht="15" hidden="false" customHeight="true" outlineLevel="0" collapsed="false">
      <c r="A362" s="3" t="s">
        <v>669</v>
      </c>
      <c r="B362" s="3" t="s">
        <v>517</v>
      </c>
      <c r="C362" s="3" t="s">
        <v>495</v>
      </c>
      <c r="D362" s="3" t="s">
        <v>518</v>
      </c>
      <c r="E362" s="3" t="s">
        <v>519</v>
      </c>
      <c r="F362" s="3" t="s">
        <v>197</v>
      </c>
      <c r="G362" s="3" t="s">
        <v>532</v>
      </c>
      <c r="H362" s="3"/>
      <c r="I362" s="3"/>
      <c r="J362" s="4"/>
      <c r="K362" s="3" t="s">
        <v>520</v>
      </c>
      <c r="L362" s="3" t="s">
        <v>142</v>
      </c>
      <c r="M362" s="3" t="s">
        <v>521</v>
      </c>
      <c r="N362" s="3"/>
    </row>
    <row r="363" customFormat="false" ht="15" hidden="false" customHeight="true" outlineLevel="0" collapsed="false">
      <c r="A363" s="3" t="s">
        <v>670</v>
      </c>
      <c r="B363" s="3" t="s">
        <v>517</v>
      </c>
      <c r="C363" s="3" t="s">
        <v>495</v>
      </c>
      <c r="D363" s="3" t="s">
        <v>518</v>
      </c>
      <c r="E363" s="3" t="s">
        <v>519</v>
      </c>
      <c r="F363" s="3" t="s">
        <v>197</v>
      </c>
      <c r="G363" s="3" t="s">
        <v>532</v>
      </c>
      <c r="H363" s="3"/>
      <c r="I363" s="3"/>
      <c r="J363" s="4"/>
      <c r="K363" s="3" t="s">
        <v>520</v>
      </c>
      <c r="L363" s="3" t="s">
        <v>142</v>
      </c>
      <c r="M363" s="3" t="s">
        <v>521</v>
      </c>
      <c r="N363" s="3"/>
    </row>
    <row r="364" customFormat="false" ht="15" hidden="false" customHeight="true" outlineLevel="0" collapsed="false">
      <c r="A364" s="3" t="s">
        <v>671</v>
      </c>
      <c r="B364" s="3" t="s">
        <v>517</v>
      </c>
      <c r="C364" s="3" t="s">
        <v>495</v>
      </c>
      <c r="D364" s="3" t="s">
        <v>518</v>
      </c>
      <c r="E364" s="3" t="s">
        <v>591</v>
      </c>
      <c r="F364" s="3" t="s">
        <v>197</v>
      </c>
      <c r="G364" s="3" t="s">
        <v>532</v>
      </c>
      <c r="H364" s="3"/>
      <c r="I364" s="3"/>
      <c r="J364" s="4"/>
      <c r="K364" s="3" t="s">
        <v>592</v>
      </c>
      <c r="L364" s="3" t="s">
        <v>142</v>
      </c>
      <c r="M364" s="3" t="s">
        <v>521</v>
      </c>
      <c r="N364" s="3"/>
    </row>
    <row r="365" customFormat="false" ht="15" hidden="false" customHeight="true" outlineLevel="0" collapsed="false">
      <c r="A365" s="3" t="s">
        <v>672</v>
      </c>
      <c r="B365" s="3" t="s">
        <v>517</v>
      </c>
      <c r="C365" s="3" t="s">
        <v>495</v>
      </c>
      <c r="D365" s="3" t="s">
        <v>518</v>
      </c>
      <c r="E365" s="3" t="s">
        <v>591</v>
      </c>
      <c r="F365" s="3" t="s">
        <v>197</v>
      </c>
      <c r="G365" s="3" t="s">
        <v>532</v>
      </c>
      <c r="H365" s="3"/>
      <c r="I365" s="3"/>
      <c r="J365" s="4"/>
      <c r="K365" s="3" t="s">
        <v>260</v>
      </c>
      <c r="L365" s="3" t="s">
        <v>142</v>
      </c>
      <c r="M365" s="3" t="s">
        <v>521</v>
      </c>
      <c r="N365" s="3"/>
    </row>
    <row r="366" customFormat="false" ht="15" hidden="false" customHeight="true" outlineLevel="0" collapsed="false">
      <c r="A366" s="3" t="s">
        <v>673</v>
      </c>
      <c r="B366" s="3" t="s">
        <v>517</v>
      </c>
      <c r="C366" s="3" t="s">
        <v>495</v>
      </c>
      <c r="D366" s="3" t="s">
        <v>518</v>
      </c>
      <c r="E366" s="3" t="s">
        <v>519</v>
      </c>
      <c r="F366" s="3" t="s">
        <v>197</v>
      </c>
      <c r="G366" s="3" t="s">
        <v>532</v>
      </c>
      <c r="H366" s="3"/>
      <c r="I366" s="3"/>
      <c r="J366" s="4"/>
      <c r="K366" s="3" t="s">
        <v>520</v>
      </c>
      <c r="L366" s="3" t="s">
        <v>142</v>
      </c>
      <c r="M366" s="3" t="s">
        <v>521</v>
      </c>
      <c r="N366" s="3"/>
    </row>
    <row r="367" customFormat="false" ht="15" hidden="false" customHeight="true" outlineLevel="0" collapsed="false">
      <c r="A367" s="3" t="s">
        <v>674</v>
      </c>
      <c r="B367" s="3" t="s">
        <v>517</v>
      </c>
      <c r="C367" s="3" t="s">
        <v>495</v>
      </c>
      <c r="D367" s="3" t="s">
        <v>518</v>
      </c>
      <c r="E367" s="3" t="s">
        <v>519</v>
      </c>
      <c r="F367" s="3" t="s">
        <v>197</v>
      </c>
      <c r="G367" s="3" t="s">
        <v>532</v>
      </c>
      <c r="H367" s="3"/>
      <c r="I367" s="3"/>
      <c r="J367" s="4"/>
      <c r="K367" s="3" t="s">
        <v>520</v>
      </c>
      <c r="L367" s="3" t="s">
        <v>142</v>
      </c>
      <c r="M367" s="3" t="s">
        <v>521</v>
      </c>
      <c r="N367" s="3"/>
    </row>
    <row r="368" customFormat="false" ht="15" hidden="false" customHeight="true" outlineLevel="0" collapsed="false">
      <c r="A368" s="3" t="s">
        <v>675</v>
      </c>
      <c r="B368" s="3" t="s">
        <v>517</v>
      </c>
      <c r="C368" s="3" t="s">
        <v>495</v>
      </c>
      <c r="D368" s="3" t="s">
        <v>518</v>
      </c>
      <c r="E368" s="3" t="s">
        <v>519</v>
      </c>
      <c r="F368" s="3" t="s">
        <v>197</v>
      </c>
      <c r="G368" s="3" t="s">
        <v>532</v>
      </c>
      <c r="H368" s="3"/>
      <c r="I368" s="3"/>
      <c r="J368" s="4"/>
      <c r="K368" s="3" t="s">
        <v>520</v>
      </c>
      <c r="L368" s="3" t="s">
        <v>142</v>
      </c>
      <c r="M368" s="3" t="s">
        <v>521</v>
      </c>
      <c r="N368" s="3"/>
    </row>
    <row r="369" customFormat="false" ht="15" hidden="false" customHeight="true" outlineLevel="0" collapsed="false">
      <c r="A369" s="3" t="s">
        <v>676</v>
      </c>
      <c r="B369" s="3" t="s">
        <v>517</v>
      </c>
      <c r="C369" s="3" t="s">
        <v>495</v>
      </c>
      <c r="D369" s="3" t="s">
        <v>518</v>
      </c>
      <c r="E369" s="3" t="s">
        <v>591</v>
      </c>
      <c r="F369" s="3" t="s">
        <v>197</v>
      </c>
      <c r="G369" s="3" t="s">
        <v>532</v>
      </c>
      <c r="H369" s="3"/>
      <c r="I369" s="3"/>
      <c r="J369" s="4"/>
      <c r="K369" s="3" t="s">
        <v>592</v>
      </c>
      <c r="L369" s="3" t="s">
        <v>142</v>
      </c>
      <c r="M369" s="3" t="s">
        <v>521</v>
      </c>
      <c r="N369" s="3"/>
    </row>
    <row r="370" customFormat="false" ht="15" hidden="false" customHeight="true" outlineLevel="0" collapsed="false">
      <c r="A370" s="3" t="s">
        <v>677</v>
      </c>
      <c r="B370" s="3" t="s">
        <v>517</v>
      </c>
      <c r="C370" s="3" t="s">
        <v>495</v>
      </c>
      <c r="D370" s="3" t="s">
        <v>518</v>
      </c>
      <c r="E370" s="3" t="s">
        <v>547</v>
      </c>
      <c r="F370" s="3" t="s">
        <v>197</v>
      </c>
      <c r="G370" s="3" t="s">
        <v>532</v>
      </c>
      <c r="H370" s="3"/>
      <c r="I370" s="3"/>
      <c r="J370" s="4"/>
      <c r="K370" s="3" t="s">
        <v>592</v>
      </c>
      <c r="L370" s="3" t="s">
        <v>142</v>
      </c>
      <c r="M370" s="3" t="s">
        <v>521</v>
      </c>
      <c r="N370" s="3"/>
    </row>
    <row r="371" customFormat="false" ht="15" hidden="false" customHeight="true" outlineLevel="0" collapsed="false">
      <c r="A371" s="3" t="s">
        <v>678</v>
      </c>
      <c r="B371" s="3" t="s">
        <v>517</v>
      </c>
      <c r="C371" s="3" t="s">
        <v>495</v>
      </c>
      <c r="D371" s="3" t="s">
        <v>518</v>
      </c>
      <c r="E371" s="3" t="s">
        <v>591</v>
      </c>
      <c r="F371" s="3" t="s">
        <v>197</v>
      </c>
      <c r="G371" s="3" t="s">
        <v>532</v>
      </c>
      <c r="H371" s="3"/>
      <c r="I371" s="3"/>
      <c r="J371" s="4"/>
      <c r="K371" s="3" t="s">
        <v>260</v>
      </c>
      <c r="L371" s="3" t="s">
        <v>142</v>
      </c>
      <c r="M371" s="3" t="s">
        <v>521</v>
      </c>
      <c r="N371" s="3"/>
    </row>
    <row r="372" customFormat="false" ht="15" hidden="false" customHeight="true" outlineLevel="0" collapsed="false">
      <c r="A372" s="3" t="s">
        <v>679</v>
      </c>
      <c r="B372" s="3" t="s">
        <v>517</v>
      </c>
      <c r="C372" s="3" t="s">
        <v>495</v>
      </c>
      <c r="D372" s="3" t="s">
        <v>518</v>
      </c>
      <c r="E372" s="3" t="s">
        <v>519</v>
      </c>
      <c r="F372" s="3" t="s">
        <v>197</v>
      </c>
      <c r="G372" s="3" t="s">
        <v>532</v>
      </c>
      <c r="H372" s="3"/>
      <c r="I372" s="3"/>
      <c r="J372" s="4"/>
      <c r="K372" s="3" t="s">
        <v>520</v>
      </c>
      <c r="L372" s="3" t="s">
        <v>142</v>
      </c>
      <c r="M372" s="3" t="s">
        <v>521</v>
      </c>
      <c r="N372" s="3"/>
    </row>
    <row r="373" customFormat="false" ht="15" hidden="false" customHeight="true" outlineLevel="0" collapsed="false">
      <c r="A373" s="3" t="s">
        <v>680</v>
      </c>
      <c r="B373" s="3" t="s">
        <v>517</v>
      </c>
      <c r="C373" s="3" t="s">
        <v>495</v>
      </c>
      <c r="D373" s="3" t="s">
        <v>518</v>
      </c>
      <c r="E373" s="3" t="s">
        <v>519</v>
      </c>
      <c r="F373" s="3" t="s">
        <v>197</v>
      </c>
      <c r="G373" s="3" t="s">
        <v>532</v>
      </c>
      <c r="H373" s="3"/>
      <c r="I373" s="3"/>
      <c r="J373" s="4"/>
      <c r="K373" s="3" t="s">
        <v>520</v>
      </c>
      <c r="L373" s="3" t="s">
        <v>142</v>
      </c>
      <c r="M373" s="3" t="s">
        <v>521</v>
      </c>
      <c r="N373" s="3"/>
    </row>
    <row r="374" customFormat="false" ht="15" hidden="false" customHeight="true" outlineLevel="0" collapsed="false">
      <c r="A374" s="3" t="s">
        <v>681</v>
      </c>
      <c r="B374" s="3" t="s">
        <v>529</v>
      </c>
      <c r="C374" s="3" t="s">
        <v>495</v>
      </c>
      <c r="D374" s="3" t="s">
        <v>530</v>
      </c>
      <c r="E374" s="3" t="s">
        <v>535</v>
      </c>
      <c r="F374" s="3" t="s">
        <v>531</v>
      </c>
      <c r="G374" s="3" t="s">
        <v>532</v>
      </c>
      <c r="H374" s="3"/>
      <c r="I374" s="3"/>
      <c r="J374" s="4"/>
      <c r="K374" s="3"/>
      <c r="L374" s="3" t="s">
        <v>49</v>
      </c>
      <c r="M374" s="3" t="s">
        <v>533</v>
      </c>
      <c r="N374" s="3"/>
    </row>
    <row r="375" customFormat="false" ht="15" hidden="false" customHeight="true" outlineLevel="0" collapsed="false">
      <c r="A375" s="3" t="s">
        <v>682</v>
      </c>
      <c r="B375" s="3" t="s">
        <v>529</v>
      </c>
      <c r="C375" s="3" t="s">
        <v>495</v>
      </c>
      <c r="D375" s="3" t="s">
        <v>530</v>
      </c>
      <c r="E375" s="3" t="s">
        <v>538</v>
      </c>
      <c r="F375" s="3" t="s">
        <v>531</v>
      </c>
      <c r="G375" s="3" t="s">
        <v>532</v>
      </c>
      <c r="H375" s="3"/>
      <c r="I375" s="3"/>
      <c r="J375" s="4"/>
      <c r="K375" s="3" t="s">
        <v>539</v>
      </c>
      <c r="L375" s="3" t="s">
        <v>47</v>
      </c>
      <c r="M375" s="3" t="s">
        <v>533</v>
      </c>
      <c r="N375" s="3"/>
    </row>
    <row r="376" customFormat="false" ht="15" hidden="false" customHeight="true" outlineLevel="0" collapsed="false">
      <c r="A376" s="3" t="s">
        <v>683</v>
      </c>
      <c r="B376" s="3" t="s">
        <v>15</v>
      </c>
      <c r="C376" s="3" t="s">
        <v>16</v>
      </c>
      <c r="D376" s="3" t="s">
        <v>17</v>
      </c>
      <c r="E376" s="3" t="s">
        <v>684</v>
      </c>
      <c r="F376" s="3" t="s">
        <v>685</v>
      </c>
      <c r="G376" s="3" t="s">
        <v>686</v>
      </c>
      <c r="H376" s="3"/>
      <c r="I376" s="3" t="s">
        <v>385</v>
      </c>
      <c r="J376" s="4" t="n">
        <v>12646.4</v>
      </c>
      <c r="K376" s="3" t="s">
        <v>687</v>
      </c>
      <c r="L376" s="3" t="s">
        <v>47</v>
      </c>
      <c r="M376" s="3" t="s">
        <v>688</v>
      </c>
      <c r="N376" s="3" t="s">
        <v>689</v>
      </c>
    </row>
    <row r="377" customFormat="false" ht="15" hidden="false" customHeight="true" outlineLevel="0" collapsed="false">
      <c r="A377" s="3" t="s">
        <v>690</v>
      </c>
      <c r="B377" s="3" t="s">
        <v>15</v>
      </c>
      <c r="C377" s="3" t="s">
        <v>16</v>
      </c>
      <c r="D377" s="3" t="s">
        <v>17</v>
      </c>
      <c r="E377" s="3" t="s">
        <v>691</v>
      </c>
      <c r="F377" s="3" t="s">
        <v>389</v>
      </c>
      <c r="G377" s="3" t="s">
        <v>686</v>
      </c>
      <c r="H377" s="3"/>
      <c r="I377" s="3" t="s">
        <v>385</v>
      </c>
      <c r="J377" s="4" t="n">
        <v>11422.9</v>
      </c>
      <c r="K377" s="3" t="s">
        <v>692</v>
      </c>
      <c r="L377" s="3" t="s">
        <v>47</v>
      </c>
      <c r="M377" s="3" t="s">
        <v>391</v>
      </c>
      <c r="N377" s="3"/>
    </row>
    <row r="378" customFormat="false" ht="15" hidden="false" customHeight="true" outlineLevel="0" collapsed="false">
      <c r="A378" s="3" t="s">
        <v>693</v>
      </c>
      <c r="B378" s="3" t="s">
        <v>15</v>
      </c>
      <c r="C378" s="3" t="s">
        <v>16</v>
      </c>
      <c r="D378" s="3" t="s">
        <v>17</v>
      </c>
      <c r="E378" s="3" t="s">
        <v>694</v>
      </c>
      <c r="F378" s="3" t="s">
        <v>695</v>
      </c>
      <c r="G378" s="3" t="s">
        <v>686</v>
      </c>
      <c r="H378" s="3"/>
      <c r="I378" s="3" t="s">
        <v>385</v>
      </c>
      <c r="J378" s="4" t="n">
        <v>6293.1</v>
      </c>
      <c r="K378" s="3"/>
      <c r="L378" s="3" t="s">
        <v>49</v>
      </c>
      <c r="M378" s="3" t="s">
        <v>696</v>
      </c>
      <c r="N378" s="3"/>
    </row>
    <row r="379" customFormat="false" ht="15" hidden="false" customHeight="true" outlineLevel="0" collapsed="false">
      <c r="A379" s="3" t="s">
        <v>697</v>
      </c>
      <c r="B379" s="3" t="s">
        <v>15</v>
      </c>
      <c r="C379" s="3" t="s">
        <v>16</v>
      </c>
      <c r="D379" s="3" t="s">
        <v>17</v>
      </c>
      <c r="E379" s="3" t="s">
        <v>694</v>
      </c>
      <c r="F379" s="3" t="s">
        <v>695</v>
      </c>
      <c r="G379" s="3" t="s">
        <v>686</v>
      </c>
      <c r="H379" s="3"/>
      <c r="I379" s="3" t="s">
        <v>385</v>
      </c>
      <c r="J379" s="4" t="n">
        <v>5820.2</v>
      </c>
      <c r="K379" s="3"/>
      <c r="L379" s="3" t="s">
        <v>49</v>
      </c>
      <c r="M379" s="3" t="s">
        <v>696</v>
      </c>
      <c r="N379" s="3"/>
    </row>
    <row r="380" customFormat="false" ht="15" hidden="false" customHeight="true" outlineLevel="0" collapsed="false">
      <c r="A380" s="3" t="s">
        <v>698</v>
      </c>
      <c r="B380" s="3" t="s">
        <v>15</v>
      </c>
      <c r="C380" s="3" t="s">
        <v>16</v>
      </c>
      <c r="D380" s="3" t="s">
        <v>17</v>
      </c>
      <c r="E380" s="3" t="s">
        <v>694</v>
      </c>
      <c r="F380" s="3" t="s">
        <v>695</v>
      </c>
      <c r="G380" s="3" t="s">
        <v>686</v>
      </c>
      <c r="H380" s="3"/>
      <c r="I380" s="3" t="s">
        <v>385</v>
      </c>
      <c r="J380" s="4" t="n">
        <v>3249.5</v>
      </c>
      <c r="K380" s="3" t="s">
        <v>699</v>
      </c>
      <c r="L380" s="3" t="s">
        <v>47</v>
      </c>
      <c r="M380" s="3" t="s">
        <v>700</v>
      </c>
      <c r="N380" s="3"/>
    </row>
    <row r="381" customFormat="false" ht="15" hidden="false" customHeight="true" outlineLevel="0" collapsed="false">
      <c r="A381" s="3" t="s">
        <v>701</v>
      </c>
      <c r="B381" s="3" t="s">
        <v>15</v>
      </c>
      <c r="C381" s="3" t="s">
        <v>16</v>
      </c>
      <c r="D381" s="3" t="s">
        <v>17</v>
      </c>
      <c r="E381" s="3" t="s">
        <v>702</v>
      </c>
      <c r="F381" s="3" t="s">
        <v>389</v>
      </c>
      <c r="G381" s="3" t="s">
        <v>686</v>
      </c>
      <c r="H381" s="3"/>
      <c r="I381" s="3" t="s">
        <v>385</v>
      </c>
      <c r="J381" s="4" t="n">
        <v>2172.6</v>
      </c>
      <c r="K381" s="3" t="s">
        <v>703</v>
      </c>
      <c r="L381" s="3" t="s">
        <v>47</v>
      </c>
      <c r="M381" s="3" t="s">
        <v>391</v>
      </c>
      <c r="N381" s="3"/>
    </row>
    <row r="382" customFormat="false" ht="15" hidden="false" customHeight="true" outlineLevel="0" collapsed="false">
      <c r="A382" s="3" t="s">
        <v>704</v>
      </c>
      <c r="B382" s="3" t="s">
        <v>15</v>
      </c>
      <c r="C382" s="3" t="s">
        <v>16</v>
      </c>
      <c r="D382" s="3" t="s">
        <v>17</v>
      </c>
      <c r="E382" s="3" t="s">
        <v>705</v>
      </c>
      <c r="F382" s="3" t="s">
        <v>706</v>
      </c>
      <c r="G382" s="3" t="s">
        <v>686</v>
      </c>
      <c r="H382" s="3"/>
      <c r="I382" s="3" t="s">
        <v>385</v>
      </c>
      <c r="J382" s="4" t="n">
        <v>1744</v>
      </c>
      <c r="K382" s="3"/>
      <c r="L382" s="3" t="s">
        <v>49</v>
      </c>
      <c r="M382" s="3" t="s">
        <v>688</v>
      </c>
      <c r="N382" s="3" t="s">
        <v>689</v>
      </c>
    </row>
    <row r="383" customFormat="false" ht="15" hidden="false" customHeight="true" outlineLevel="0" collapsed="false">
      <c r="A383" s="3" t="s">
        <v>707</v>
      </c>
      <c r="B383" s="3" t="s">
        <v>15</v>
      </c>
      <c r="C383" s="3" t="s">
        <v>16</v>
      </c>
      <c r="D383" s="3" t="s">
        <v>17</v>
      </c>
      <c r="E383" s="3" t="s">
        <v>694</v>
      </c>
      <c r="F383" s="3" t="s">
        <v>695</v>
      </c>
      <c r="G383" s="3" t="s">
        <v>686</v>
      </c>
      <c r="H383" s="3"/>
      <c r="I383" s="3" t="s">
        <v>385</v>
      </c>
      <c r="J383" s="4" t="n">
        <v>1619.5</v>
      </c>
      <c r="K383" s="3" t="s">
        <v>699</v>
      </c>
      <c r="L383" s="3" t="s">
        <v>47</v>
      </c>
      <c r="M383" s="3" t="s">
        <v>696</v>
      </c>
      <c r="N383" s="3"/>
    </row>
    <row r="384" customFormat="false" ht="15" hidden="false" customHeight="true" outlineLevel="0" collapsed="false">
      <c r="A384" s="3" t="s">
        <v>708</v>
      </c>
      <c r="B384" s="3" t="s">
        <v>15</v>
      </c>
      <c r="C384" s="3" t="s">
        <v>16</v>
      </c>
      <c r="D384" s="3" t="s">
        <v>17</v>
      </c>
      <c r="E384" s="3" t="s">
        <v>702</v>
      </c>
      <c r="F384" s="3" t="s">
        <v>389</v>
      </c>
      <c r="G384" s="3" t="s">
        <v>686</v>
      </c>
      <c r="H384" s="3"/>
      <c r="I384" s="3" t="s">
        <v>385</v>
      </c>
      <c r="J384" s="4" t="n">
        <v>1172.6</v>
      </c>
      <c r="K384" s="3"/>
      <c r="L384" s="3" t="s">
        <v>49</v>
      </c>
      <c r="M384" s="3" t="s">
        <v>391</v>
      </c>
      <c r="N384" s="3"/>
    </row>
    <row r="385" customFormat="false" ht="15" hidden="false" customHeight="true" outlineLevel="0" collapsed="false">
      <c r="A385" s="3" t="s">
        <v>709</v>
      </c>
      <c r="B385" s="3" t="s">
        <v>15</v>
      </c>
      <c r="C385" s="3" t="s">
        <v>16</v>
      </c>
      <c r="D385" s="3" t="s">
        <v>17</v>
      </c>
      <c r="E385" s="3" t="s">
        <v>694</v>
      </c>
      <c r="F385" s="3" t="s">
        <v>695</v>
      </c>
      <c r="G385" s="3" t="s">
        <v>686</v>
      </c>
      <c r="H385" s="3"/>
      <c r="I385" s="3" t="s">
        <v>385</v>
      </c>
      <c r="J385" s="4" t="n">
        <v>1117.9</v>
      </c>
      <c r="K385" s="3" t="s">
        <v>699</v>
      </c>
      <c r="L385" s="3" t="s">
        <v>47</v>
      </c>
      <c r="M385" s="3" t="s">
        <v>696</v>
      </c>
      <c r="N385" s="3"/>
    </row>
    <row r="386" customFormat="false" ht="15" hidden="false" customHeight="true" outlineLevel="0" collapsed="false">
      <c r="A386" s="3" t="s">
        <v>710</v>
      </c>
      <c r="B386" s="3" t="s">
        <v>15</v>
      </c>
      <c r="C386" s="3" t="s">
        <v>16</v>
      </c>
      <c r="D386" s="3" t="s">
        <v>17</v>
      </c>
      <c r="E386" s="3" t="s">
        <v>694</v>
      </c>
      <c r="F386" s="3" t="s">
        <v>695</v>
      </c>
      <c r="G386" s="3" t="s">
        <v>686</v>
      </c>
      <c r="H386" s="3"/>
      <c r="I386" s="3" t="s">
        <v>385</v>
      </c>
      <c r="J386" s="4" t="n">
        <v>1084.1</v>
      </c>
      <c r="K386" s="3" t="s">
        <v>699</v>
      </c>
      <c r="L386" s="3" t="s">
        <v>47</v>
      </c>
      <c r="M386" s="3" t="s">
        <v>700</v>
      </c>
      <c r="N386" s="3"/>
    </row>
    <row r="387" customFormat="false" ht="15" hidden="false" customHeight="true" outlineLevel="0" collapsed="false">
      <c r="A387" s="3" t="s">
        <v>711</v>
      </c>
      <c r="B387" s="3" t="s">
        <v>15</v>
      </c>
      <c r="C387" s="3" t="s">
        <v>16</v>
      </c>
      <c r="D387" s="3" t="s">
        <v>17</v>
      </c>
      <c r="E387" s="3" t="s">
        <v>712</v>
      </c>
      <c r="F387" s="3" t="s">
        <v>713</v>
      </c>
      <c r="G387" s="3" t="s">
        <v>686</v>
      </c>
      <c r="H387" s="3"/>
      <c r="I387" s="3" t="s">
        <v>385</v>
      </c>
      <c r="J387" s="4" t="n">
        <v>991.8</v>
      </c>
      <c r="K387" s="3" t="s">
        <v>714</v>
      </c>
      <c r="L387" s="3" t="s">
        <v>47</v>
      </c>
      <c r="M387" s="3" t="s">
        <v>688</v>
      </c>
      <c r="N387" s="3" t="s">
        <v>689</v>
      </c>
    </row>
    <row r="388" customFormat="false" ht="15" hidden="false" customHeight="true" outlineLevel="0" collapsed="false">
      <c r="A388" s="3" t="s">
        <v>715</v>
      </c>
      <c r="B388" s="3" t="s">
        <v>15</v>
      </c>
      <c r="C388" s="3" t="s">
        <v>16</v>
      </c>
      <c r="D388" s="3" t="s">
        <v>17</v>
      </c>
      <c r="E388" s="3" t="s">
        <v>694</v>
      </c>
      <c r="F388" s="3" t="s">
        <v>695</v>
      </c>
      <c r="G388" s="3" t="s">
        <v>686</v>
      </c>
      <c r="H388" s="3"/>
      <c r="I388" s="3" t="s">
        <v>385</v>
      </c>
      <c r="J388" s="4" t="n">
        <v>819.7</v>
      </c>
      <c r="K388" s="3" t="s">
        <v>699</v>
      </c>
      <c r="L388" s="3" t="s">
        <v>47</v>
      </c>
      <c r="M388" s="3" t="s">
        <v>700</v>
      </c>
      <c r="N388" s="3"/>
    </row>
    <row r="389" customFormat="false" ht="15" hidden="false" customHeight="true" outlineLevel="0" collapsed="false">
      <c r="A389" s="3" t="s">
        <v>716</v>
      </c>
      <c r="B389" s="3" t="s">
        <v>15</v>
      </c>
      <c r="C389" s="3" t="s">
        <v>16</v>
      </c>
      <c r="D389" s="3" t="s">
        <v>17</v>
      </c>
      <c r="E389" s="3" t="s">
        <v>702</v>
      </c>
      <c r="F389" s="3" t="s">
        <v>389</v>
      </c>
      <c r="G389" s="3" t="s">
        <v>686</v>
      </c>
      <c r="H389" s="3"/>
      <c r="I389" s="3" t="s">
        <v>385</v>
      </c>
      <c r="J389" s="4" t="n">
        <v>734.3</v>
      </c>
      <c r="K389" s="3" t="s">
        <v>717</v>
      </c>
      <c r="L389" s="3" t="s">
        <v>47</v>
      </c>
      <c r="M389" s="3" t="s">
        <v>391</v>
      </c>
      <c r="N389" s="3"/>
    </row>
    <row r="390" customFormat="false" ht="15" hidden="false" customHeight="true" outlineLevel="0" collapsed="false">
      <c r="A390" s="3" t="s">
        <v>718</v>
      </c>
      <c r="B390" s="3" t="s">
        <v>15</v>
      </c>
      <c r="C390" s="3" t="s">
        <v>16</v>
      </c>
      <c r="D390" s="3" t="s">
        <v>17</v>
      </c>
      <c r="E390" s="3" t="s">
        <v>684</v>
      </c>
      <c r="F390" s="3" t="s">
        <v>685</v>
      </c>
      <c r="G390" s="3" t="s">
        <v>686</v>
      </c>
      <c r="H390" s="3"/>
      <c r="I390" s="3" t="s">
        <v>385</v>
      </c>
      <c r="J390" s="4" t="n">
        <v>672.3</v>
      </c>
      <c r="K390" s="3"/>
      <c r="L390" s="3" t="s">
        <v>49</v>
      </c>
      <c r="M390" s="3" t="s">
        <v>688</v>
      </c>
      <c r="N390" s="3" t="s">
        <v>689</v>
      </c>
    </row>
    <row r="391" customFormat="false" ht="15" hidden="false" customHeight="true" outlineLevel="0" collapsed="false">
      <c r="A391" s="3" t="s">
        <v>719</v>
      </c>
      <c r="B391" s="3" t="s">
        <v>15</v>
      </c>
      <c r="C391" s="3" t="s">
        <v>16</v>
      </c>
      <c r="D391" s="3" t="s">
        <v>17</v>
      </c>
      <c r="E391" s="3" t="s">
        <v>694</v>
      </c>
      <c r="F391" s="3" t="s">
        <v>695</v>
      </c>
      <c r="G391" s="3" t="s">
        <v>686</v>
      </c>
      <c r="H391" s="3"/>
      <c r="I391" s="3" t="s">
        <v>385</v>
      </c>
      <c r="J391" s="4" t="n">
        <v>548.6</v>
      </c>
      <c r="K391" s="3" t="s">
        <v>699</v>
      </c>
      <c r="L391" s="3" t="s">
        <v>47</v>
      </c>
      <c r="M391" s="3" t="s">
        <v>696</v>
      </c>
      <c r="N391" s="3"/>
    </row>
    <row r="392" customFormat="false" ht="15" hidden="false" customHeight="true" outlineLevel="0" collapsed="false">
      <c r="A392" s="3" t="s">
        <v>720</v>
      </c>
      <c r="B392" s="3" t="s">
        <v>15</v>
      </c>
      <c r="C392" s="3" t="s">
        <v>16</v>
      </c>
      <c r="D392" s="3" t="s">
        <v>17</v>
      </c>
      <c r="E392" s="3" t="s">
        <v>691</v>
      </c>
      <c r="F392" s="3" t="s">
        <v>389</v>
      </c>
      <c r="G392" s="3" t="s">
        <v>686</v>
      </c>
      <c r="H392" s="3"/>
      <c r="I392" s="3" t="s">
        <v>385</v>
      </c>
      <c r="J392" s="4" t="n">
        <v>330.5</v>
      </c>
      <c r="K392" s="3" t="s">
        <v>721</v>
      </c>
      <c r="L392" s="3" t="s">
        <v>245</v>
      </c>
      <c r="M392" s="3" t="s">
        <v>391</v>
      </c>
      <c r="N392" s="3"/>
    </row>
    <row r="393" customFormat="false" ht="15" hidden="false" customHeight="true" outlineLevel="0" collapsed="false">
      <c r="A393" s="3" t="s">
        <v>722</v>
      </c>
      <c r="B393" s="3" t="s">
        <v>15</v>
      </c>
      <c r="C393" s="3" t="s">
        <v>16</v>
      </c>
      <c r="D393" s="3" t="s">
        <v>17</v>
      </c>
      <c r="E393" s="3" t="s">
        <v>712</v>
      </c>
      <c r="F393" s="3" t="s">
        <v>713</v>
      </c>
      <c r="G393" s="3" t="s">
        <v>686</v>
      </c>
      <c r="H393" s="3"/>
      <c r="I393" s="3" t="s">
        <v>385</v>
      </c>
      <c r="J393" s="4" t="n">
        <v>244.6</v>
      </c>
      <c r="K393" s="3" t="s">
        <v>723</v>
      </c>
      <c r="L393" s="3" t="s">
        <v>47</v>
      </c>
      <c r="M393" s="3" t="s">
        <v>688</v>
      </c>
      <c r="N393" s="3" t="s">
        <v>689</v>
      </c>
    </row>
    <row r="394" customFormat="false" ht="15" hidden="false" customHeight="true" outlineLevel="0" collapsed="false">
      <c r="A394" s="3" t="s">
        <v>724</v>
      </c>
      <c r="B394" s="3" t="s">
        <v>15</v>
      </c>
      <c r="C394" s="3" t="s">
        <v>16</v>
      </c>
      <c r="D394" s="3" t="s">
        <v>17</v>
      </c>
      <c r="E394" s="3" t="s">
        <v>691</v>
      </c>
      <c r="F394" s="3" t="s">
        <v>389</v>
      </c>
      <c r="G394" s="3" t="s">
        <v>686</v>
      </c>
      <c r="H394" s="3"/>
      <c r="I394" s="3" t="s">
        <v>385</v>
      </c>
      <c r="J394" s="4" t="n">
        <v>212.8</v>
      </c>
      <c r="K394" s="3" t="s">
        <v>692</v>
      </c>
      <c r="L394" s="3" t="s">
        <v>47</v>
      </c>
      <c r="M394" s="3" t="s">
        <v>391</v>
      </c>
      <c r="N394" s="3"/>
    </row>
    <row r="395" customFormat="false" ht="15" hidden="false" customHeight="true" outlineLevel="0" collapsed="false">
      <c r="A395" s="3" t="s">
        <v>725</v>
      </c>
      <c r="B395" s="3" t="s">
        <v>15</v>
      </c>
      <c r="C395" s="3" t="s">
        <v>16</v>
      </c>
      <c r="D395" s="3" t="s">
        <v>17</v>
      </c>
      <c r="E395" s="3" t="s">
        <v>702</v>
      </c>
      <c r="F395" s="3" t="s">
        <v>389</v>
      </c>
      <c r="G395" s="3" t="s">
        <v>686</v>
      </c>
      <c r="H395" s="3"/>
      <c r="I395" s="3" t="s">
        <v>385</v>
      </c>
      <c r="J395" s="4" t="n">
        <v>152.5</v>
      </c>
      <c r="K395" s="3" t="s">
        <v>703</v>
      </c>
      <c r="L395" s="3" t="s">
        <v>47</v>
      </c>
      <c r="M395" s="3" t="s">
        <v>391</v>
      </c>
      <c r="N395" s="3"/>
    </row>
    <row r="396" customFormat="false" ht="15" hidden="false" customHeight="true" outlineLevel="0" collapsed="false">
      <c r="A396" s="3" t="s">
        <v>726</v>
      </c>
      <c r="B396" s="3" t="s">
        <v>15</v>
      </c>
      <c r="C396" s="3" t="s">
        <v>16</v>
      </c>
      <c r="D396" s="3" t="s">
        <v>17</v>
      </c>
      <c r="E396" s="3" t="s">
        <v>684</v>
      </c>
      <c r="F396" s="3" t="s">
        <v>685</v>
      </c>
      <c r="G396" s="3" t="s">
        <v>686</v>
      </c>
      <c r="H396" s="3"/>
      <c r="I396" s="3" t="s">
        <v>385</v>
      </c>
      <c r="J396" s="4" t="n">
        <v>120</v>
      </c>
      <c r="K396" s="3" t="s">
        <v>727</v>
      </c>
      <c r="L396" s="3" t="s">
        <v>47</v>
      </c>
      <c r="M396" s="3" t="s">
        <v>688</v>
      </c>
      <c r="N396" s="3" t="s">
        <v>689</v>
      </c>
    </row>
    <row r="397" customFormat="false" ht="15" hidden="false" customHeight="true" outlineLevel="0" collapsed="false">
      <c r="A397" s="3" t="s">
        <v>728</v>
      </c>
      <c r="B397" s="3" t="s">
        <v>15</v>
      </c>
      <c r="C397" s="3" t="s">
        <v>16</v>
      </c>
      <c r="D397" s="3" t="s">
        <v>17</v>
      </c>
      <c r="E397" s="3" t="s">
        <v>684</v>
      </c>
      <c r="F397" s="3" t="s">
        <v>685</v>
      </c>
      <c r="G397" s="3" t="s">
        <v>686</v>
      </c>
      <c r="H397" s="3"/>
      <c r="I397" s="3" t="s">
        <v>385</v>
      </c>
      <c r="J397" s="4" t="n">
        <v>109.5</v>
      </c>
      <c r="K397" s="3"/>
      <c r="L397" s="3" t="s">
        <v>49</v>
      </c>
      <c r="M397" s="3" t="s">
        <v>688</v>
      </c>
      <c r="N397" s="3" t="s">
        <v>689</v>
      </c>
    </row>
    <row r="398" customFormat="false" ht="15" hidden="false" customHeight="true" outlineLevel="0" collapsed="false">
      <c r="A398" s="3" t="s">
        <v>729</v>
      </c>
      <c r="B398" s="3" t="s">
        <v>15</v>
      </c>
      <c r="C398" s="3" t="s">
        <v>16</v>
      </c>
      <c r="D398" s="3" t="s">
        <v>17</v>
      </c>
      <c r="E398" s="3" t="s">
        <v>712</v>
      </c>
      <c r="F398" s="3" t="s">
        <v>713</v>
      </c>
      <c r="G398" s="3" t="s">
        <v>686</v>
      </c>
      <c r="H398" s="3"/>
      <c r="I398" s="3" t="s">
        <v>385</v>
      </c>
      <c r="J398" s="4" t="n">
        <v>85.4</v>
      </c>
      <c r="K398" s="3" t="s">
        <v>730</v>
      </c>
      <c r="L398" s="3" t="s">
        <v>47</v>
      </c>
      <c r="M398" s="3" t="s">
        <v>688</v>
      </c>
      <c r="N398" s="3" t="s">
        <v>689</v>
      </c>
    </row>
    <row r="399" customFormat="false" ht="15" hidden="false" customHeight="true" outlineLevel="0" collapsed="false">
      <c r="A399" s="3" t="s">
        <v>731</v>
      </c>
      <c r="B399" s="3" t="s">
        <v>15</v>
      </c>
      <c r="C399" s="3" t="s">
        <v>16</v>
      </c>
      <c r="D399" s="3" t="s">
        <v>17</v>
      </c>
      <c r="E399" s="3" t="s">
        <v>712</v>
      </c>
      <c r="F399" s="3" t="s">
        <v>713</v>
      </c>
      <c r="G399" s="3" t="s">
        <v>686</v>
      </c>
      <c r="H399" s="3"/>
      <c r="I399" s="3" t="s">
        <v>385</v>
      </c>
      <c r="J399" s="4" t="n">
        <v>20.3</v>
      </c>
      <c r="K399" s="3"/>
      <c r="L399" s="3" t="s">
        <v>49</v>
      </c>
      <c r="M399" s="3" t="s">
        <v>688</v>
      </c>
      <c r="N399" s="3" t="s">
        <v>689</v>
      </c>
    </row>
    <row r="400" customFormat="false" ht="15" hidden="false" customHeight="true" outlineLevel="0" collapsed="false">
      <c r="A400" s="3" t="s">
        <v>732</v>
      </c>
      <c r="B400" s="3" t="s">
        <v>15</v>
      </c>
      <c r="C400" s="3" t="s">
        <v>16</v>
      </c>
      <c r="D400" s="3" t="s">
        <v>17</v>
      </c>
      <c r="E400" s="3" t="s">
        <v>702</v>
      </c>
      <c r="F400" s="3" t="s">
        <v>389</v>
      </c>
      <c r="G400" s="3" t="s">
        <v>686</v>
      </c>
      <c r="H400" s="3"/>
      <c r="I400" s="3" t="s">
        <v>385</v>
      </c>
      <c r="J400" s="4" t="n">
        <v>4.4</v>
      </c>
      <c r="K400" s="3" t="s">
        <v>542</v>
      </c>
      <c r="L400" s="3" t="s">
        <v>47</v>
      </c>
      <c r="M400" s="3" t="s">
        <v>391</v>
      </c>
      <c r="N400" s="3"/>
    </row>
    <row r="401" customFormat="false" ht="15" hidden="false" customHeight="true" outlineLevel="0" collapsed="false">
      <c r="A401" s="3" t="s">
        <v>733</v>
      </c>
      <c r="B401" s="3" t="s">
        <v>15</v>
      </c>
      <c r="C401" s="3" t="s">
        <v>16</v>
      </c>
      <c r="D401" s="3" t="s">
        <v>17</v>
      </c>
      <c r="E401" s="3" t="s">
        <v>712</v>
      </c>
      <c r="F401" s="3" t="s">
        <v>713</v>
      </c>
      <c r="G401" s="3" t="s">
        <v>686</v>
      </c>
      <c r="H401" s="3"/>
      <c r="I401" s="3" t="s">
        <v>385</v>
      </c>
      <c r="J401" s="4" t="n">
        <v>4.1</v>
      </c>
      <c r="K401" s="3" t="s">
        <v>734</v>
      </c>
      <c r="L401" s="3" t="s">
        <v>47</v>
      </c>
      <c r="M401" s="3" t="s">
        <v>688</v>
      </c>
      <c r="N401" s="3" t="s">
        <v>689</v>
      </c>
    </row>
    <row r="402" customFormat="false" ht="15" hidden="false" customHeight="true" outlineLevel="0" collapsed="false">
      <c r="A402" s="3" t="s">
        <v>735</v>
      </c>
      <c r="B402" s="3" t="s">
        <v>15</v>
      </c>
      <c r="C402" s="3" t="s">
        <v>16</v>
      </c>
      <c r="D402" s="3" t="s">
        <v>17</v>
      </c>
      <c r="E402" s="3" t="s">
        <v>691</v>
      </c>
      <c r="F402" s="3" t="s">
        <v>389</v>
      </c>
      <c r="G402" s="3" t="s">
        <v>686</v>
      </c>
      <c r="H402" s="3"/>
      <c r="I402" s="3" t="s">
        <v>385</v>
      </c>
      <c r="J402" s="4" t="n">
        <v>2.3</v>
      </c>
      <c r="K402" s="3" t="s">
        <v>692</v>
      </c>
      <c r="L402" s="3" t="s">
        <v>47</v>
      </c>
      <c r="M402" s="3" t="s">
        <v>391</v>
      </c>
      <c r="N402" s="3"/>
    </row>
    <row r="403" customFormat="false" ht="15" hidden="false" customHeight="true" outlineLevel="0" collapsed="false">
      <c r="A403" s="3" t="s">
        <v>736</v>
      </c>
      <c r="B403" s="3" t="s">
        <v>15</v>
      </c>
      <c r="C403" s="3" t="s">
        <v>16</v>
      </c>
      <c r="D403" s="3" t="s">
        <v>17</v>
      </c>
      <c r="E403" s="3" t="s">
        <v>684</v>
      </c>
      <c r="F403" s="3" t="s">
        <v>685</v>
      </c>
      <c r="G403" s="3" t="s">
        <v>686</v>
      </c>
      <c r="H403" s="3"/>
      <c r="I403" s="3" t="s">
        <v>385</v>
      </c>
      <c r="J403" s="4"/>
      <c r="K403" s="3" t="s">
        <v>727</v>
      </c>
      <c r="L403" s="3" t="s">
        <v>22</v>
      </c>
      <c r="M403" s="3" t="s">
        <v>688</v>
      </c>
      <c r="N403" s="3" t="s">
        <v>689</v>
      </c>
    </row>
    <row r="404" customFormat="false" ht="15" hidden="false" customHeight="true" outlineLevel="0" collapsed="false">
      <c r="A404" s="3" t="s">
        <v>737</v>
      </c>
      <c r="B404" s="3" t="s">
        <v>15</v>
      </c>
      <c r="C404" s="3" t="s">
        <v>16</v>
      </c>
      <c r="D404" s="3" t="s">
        <v>17</v>
      </c>
      <c r="E404" s="3" t="s">
        <v>691</v>
      </c>
      <c r="F404" s="3" t="s">
        <v>389</v>
      </c>
      <c r="G404" s="3" t="s">
        <v>686</v>
      </c>
      <c r="H404" s="3"/>
      <c r="I404" s="3" t="s">
        <v>385</v>
      </c>
      <c r="J404" s="4"/>
      <c r="K404" s="3" t="s">
        <v>738</v>
      </c>
      <c r="L404" s="3" t="s">
        <v>22</v>
      </c>
      <c r="M404" s="3" t="s">
        <v>391</v>
      </c>
      <c r="N404" s="3"/>
    </row>
    <row r="405" customFormat="false" ht="15" hidden="false" customHeight="true" outlineLevel="0" collapsed="false">
      <c r="A405" s="3" t="s">
        <v>739</v>
      </c>
      <c r="B405" s="3" t="s">
        <v>15</v>
      </c>
      <c r="C405" s="3" t="s">
        <v>16</v>
      </c>
      <c r="D405" s="3" t="s">
        <v>17</v>
      </c>
      <c r="E405" s="3" t="s">
        <v>705</v>
      </c>
      <c r="F405" s="3" t="s">
        <v>706</v>
      </c>
      <c r="G405" s="3" t="s">
        <v>686</v>
      </c>
      <c r="H405" s="3"/>
      <c r="I405" s="3" t="s">
        <v>385</v>
      </c>
      <c r="J405" s="4"/>
      <c r="K405" s="3"/>
      <c r="L405" s="3" t="s">
        <v>49</v>
      </c>
      <c r="M405" s="3" t="s">
        <v>688</v>
      </c>
      <c r="N405" s="3" t="s">
        <v>689</v>
      </c>
    </row>
    <row r="406" customFormat="false" ht="15" hidden="false" customHeight="true" outlineLevel="0" collapsed="false">
      <c r="A406" s="3" t="s">
        <v>740</v>
      </c>
      <c r="B406" s="3" t="s">
        <v>15</v>
      </c>
      <c r="C406" s="3" t="s">
        <v>16</v>
      </c>
      <c r="D406" s="3" t="s">
        <v>17</v>
      </c>
      <c r="E406" s="3" t="s">
        <v>705</v>
      </c>
      <c r="F406" s="3" t="s">
        <v>706</v>
      </c>
      <c r="G406" s="3" t="s">
        <v>686</v>
      </c>
      <c r="H406" s="3"/>
      <c r="I406" s="3" t="s">
        <v>385</v>
      </c>
      <c r="J406" s="4"/>
      <c r="K406" s="3" t="s">
        <v>741</v>
      </c>
      <c r="L406" s="3" t="s">
        <v>164</v>
      </c>
      <c r="M406" s="3" t="s">
        <v>688</v>
      </c>
      <c r="N406" s="3" t="s">
        <v>689</v>
      </c>
    </row>
    <row r="407" customFormat="false" ht="15" hidden="false" customHeight="true" outlineLevel="0" collapsed="false">
      <c r="A407" s="3" t="s">
        <v>742</v>
      </c>
      <c r="B407" s="3" t="s">
        <v>15</v>
      </c>
      <c r="C407" s="3" t="s">
        <v>16</v>
      </c>
      <c r="D407" s="3" t="s">
        <v>17</v>
      </c>
      <c r="E407" s="3" t="s">
        <v>684</v>
      </c>
      <c r="F407" s="3" t="s">
        <v>685</v>
      </c>
      <c r="G407" s="3" t="s">
        <v>686</v>
      </c>
      <c r="H407" s="3"/>
      <c r="I407" s="3" t="s">
        <v>385</v>
      </c>
      <c r="J407" s="4"/>
      <c r="K407" s="3"/>
      <c r="L407" s="3" t="s">
        <v>49</v>
      </c>
      <c r="M407" s="3" t="s">
        <v>688</v>
      </c>
      <c r="N407" s="3" t="s">
        <v>689</v>
      </c>
    </row>
    <row r="408" customFormat="false" ht="15" hidden="false" customHeight="true" outlineLevel="0" collapsed="false">
      <c r="A408" s="3" t="s">
        <v>743</v>
      </c>
      <c r="B408" s="3" t="s">
        <v>15</v>
      </c>
      <c r="C408" s="3" t="s">
        <v>16</v>
      </c>
      <c r="D408" s="3" t="s">
        <v>17</v>
      </c>
      <c r="E408" s="3" t="s">
        <v>684</v>
      </c>
      <c r="F408" s="3" t="s">
        <v>685</v>
      </c>
      <c r="G408" s="3" t="s">
        <v>686</v>
      </c>
      <c r="H408" s="3"/>
      <c r="I408" s="3" t="s">
        <v>385</v>
      </c>
      <c r="J408" s="4"/>
      <c r="K408" s="3" t="s">
        <v>744</v>
      </c>
      <c r="L408" s="3" t="s">
        <v>22</v>
      </c>
      <c r="M408" s="3" t="s">
        <v>688</v>
      </c>
      <c r="N408" s="3" t="s">
        <v>689</v>
      </c>
    </row>
    <row r="409" customFormat="false" ht="15" hidden="false" customHeight="true" outlineLevel="0" collapsed="false">
      <c r="A409" s="3" t="s">
        <v>745</v>
      </c>
      <c r="B409" s="3" t="s">
        <v>15</v>
      </c>
      <c r="C409" s="3" t="s">
        <v>16</v>
      </c>
      <c r="D409" s="3" t="s">
        <v>17</v>
      </c>
      <c r="E409" s="3" t="s">
        <v>702</v>
      </c>
      <c r="F409" s="3" t="s">
        <v>389</v>
      </c>
      <c r="G409" s="3" t="s">
        <v>686</v>
      </c>
      <c r="H409" s="3"/>
      <c r="I409" s="3" t="s">
        <v>385</v>
      </c>
      <c r="J409" s="4"/>
      <c r="K409" s="3"/>
      <c r="L409" s="3" t="s">
        <v>49</v>
      </c>
      <c r="M409" s="3" t="s">
        <v>391</v>
      </c>
      <c r="N409" s="3"/>
    </row>
    <row r="410" customFormat="false" ht="15" hidden="false" customHeight="true" outlineLevel="0" collapsed="false">
      <c r="A410" s="3" t="s">
        <v>746</v>
      </c>
      <c r="B410" s="3" t="s">
        <v>15</v>
      </c>
      <c r="C410" s="3" t="s">
        <v>16</v>
      </c>
      <c r="D410" s="3" t="s">
        <v>17</v>
      </c>
      <c r="E410" s="3" t="s">
        <v>712</v>
      </c>
      <c r="F410" s="3" t="s">
        <v>713</v>
      </c>
      <c r="G410" s="3" t="s">
        <v>686</v>
      </c>
      <c r="H410" s="3"/>
      <c r="I410" s="3" t="s">
        <v>385</v>
      </c>
      <c r="J410" s="4"/>
      <c r="K410" s="3" t="s">
        <v>747</v>
      </c>
      <c r="L410" s="3" t="s">
        <v>22</v>
      </c>
      <c r="M410" s="3" t="s">
        <v>688</v>
      </c>
      <c r="N410" s="3" t="s">
        <v>689</v>
      </c>
    </row>
    <row r="411" customFormat="false" ht="15" hidden="false" customHeight="true" outlineLevel="0" collapsed="false">
      <c r="A411" s="3" t="s">
        <v>748</v>
      </c>
      <c r="B411" s="3" t="s">
        <v>15</v>
      </c>
      <c r="C411" s="3" t="s">
        <v>16</v>
      </c>
      <c r="D411" s="3" t="s">
        <v>17</v>
      </c>
      <c r="E411" s="3" t="s">
        <v>712</v>
      </c>
      <c r="F411" s="3" t="s">
        <v>713</v>
      </c>
      <c r="G411" s="3" t="s">
        <v>686</v>
      </c>
      <c r="H411" s="3"/>
      <c r="I411" s="3" t="s">
        <v>385</v>
      </c>
      <c r="J411" s="4"/>
      <c r="K411" s="3" t="s">
        <v>749</v>
      </c>
      <c r="L411" s="3" t="s">
        <v>22</v>
      </c>
      <c r="M411" s="3" t="s">
        <v>688</v>
      </c>
      <c r="N411" s="3" t="s">
        <v>689</v>
      </c>
    </row>
    <row r="412" customFormat="false" ht="15" hidden="false" customHeight="true" outlineLevel="0" collapsed="false">
      <c r="A412" s="3" t="s">
        <v>750</v>
      </c>
      <c r="B412" s="3" t="s">
        <v>15</v>
      </c>
      <c r="C412" s="3" t="s">
        <v>16</v>
      </c>
      <c r="D412" s="3" t="s">
        <v>17</v>
      </c>
      <c r="E412" s="3" t="s">
        <v>393</v>
      </c>
      <c r="F412" s="3" t="s">
        <v>713</v>
      </c>
      <c r="G412" s="3" t="s">
        <v>686</v>
      </c>
      <c r="H412" s="3"/>
      <c r="I412" s="3" t="s">
        <v>385</v>
      </c>
      <c r="J412" s="4"/>
      <c r="K412" s="3" t="s">
        <v>751</v>
      </c>
      <c r="L412" s="3" t="s">
        <v>22</v>
      </c>
      <c r="M412" s="3" t="s">
        <v>688</v>
      </c>
      <c r="N412" s="3" t="s">
        <v>689</v>
      </c>
    </row>
    <row r="413" customFormat="false" ht="15" hidden="false" customHeight="true" outlineLevel="0" collapsed="false">
      <c r="A413" s="3" t="s">
        <v>752</v>
      </c>
      <c r="B413" s="3" t="s">
        <v>15</v>
      </c>
      <c r="C413" s="3" t="s">
        <v>16</v>
      </c>
      <c r="D413" s="3" t="s">
        <v>17</v>
      </c>
      <c r="E413" s="3" t="s">
        <v>694</v>
      </c>
      <c r="F413" s="3" t="s">
        <v>695</v>
      </c>
      <c r="G413" s="3" t="s">
        <v>686</v>
      </c>
      <c r="H413" s="3"/>
      <c r="I413" s="3" t="s">
        <v>385</v>
      </c>
      <c r="J413" s="4"/>
      <c r="K413" s="3" t="s">
        <v>753</v>
      </c>
      <c r="L413" s="3" t="s">
        <v>22</v>
      </c>
      <c r="M413" s="3" t="s">
        <v>696</v>
      </c>
      <c r="N413" s="3"/>
    </row>
    <row r="414" customFormat="false" ht="15" hidden="false" customHeight="true" outlineLevel="0" collapsed="false">
      <c r="A414" s="3" t="s">
        <v>754</v>
      </c>
      <c r="B414" s="3" t="s">
        <v>15</v>
      </c>
      <c r="C414" s="3" t="s">
        <v>16</v>
      </c>
      <c r="D414" s="3" t="s">
        <v>17</v>
      </c>
      <c r="E414" s="3" t="s">
        <v>694</v>
      </c>
      <c r="F414" s="3" t="s">
        <v>695</v>
      </c>
      <c r="G414" s="3" t="s">
        <v>686</v>
      </c>
      <c r="H414" s="3"/>
      <c r="I414" s="3" t="s">
        <v>385</v>
      </c>
      <c r="J414" s="4"/>
      <c r="K414" s="3" t="s">
        <v>755</v>
      </c>
      <c r="L414" s="3" t="s">
        <v>245</v>
      </c>
      <c r="M414" s="3" t="s">
        <v>696</v>
      </c>
      <c r="N414" s="3"/>
    </row>
    <row r="415" customFormat="false" ht="15" hidden="false" customHeight="true" outlineLevel="0" collapsed="false">
      <c r="A415" s="3" t="s">
        <v>756</v>
      </c>
      <c r="B415" s="3" t="s">
        <v>15</v>
      </c>
      <c r="C415" s="3" t="s">
        <v>16</v>
      </c>
      <c r="D415" s="3" t="s">
        <v>17</v>
      </c>
      <c r="E415" s="3" t="s">
        <v>702</v>
      </c>
      <c r="F415" s="3" t="s">
        <v>389</v>
      </c>
      <c r="G415" s="3" t="s">
        <v>686</v>
      </c>
      <c r="H415" s="3"/>
      <c r="I415" s="3" t="s">
        <v>385</v>
      </c>
      <c r="J415" s="4"/>
      <c r="K415" s="3"/>
      <c r="L415" s="3" t="s">
        <v>49</v>
      </c>
      <c r="M415" s="3" t="s">
        <v>391</v>
      </c>
      <c r="N415" s="3"/>
    </row>
    <row r="416" customFormat="false" ht="15" hidden="false" customHeight="true" outlineLevel="0" collapsed="false">
      <c r="A416" s="3" t="s">
        <v>757</v>
      </c>
      <c r="B416" s="3" t="s">
        <v>15</v>
      </c>
      <c r="C416" s="3" t="s">
        <v>16</v>
      </c>
      <c r="D416" s="3" t="s">
        <v>17</v>
      </c>
      <c r="E416" s="3" t="s">
        <v>684</v>
      </c>
      <c r="F416" s="3" t="s">
        <v>685</v>
      </c>
      <c r="G416" s="3" t="s">
        <v>686</v>
      </c>
      <c r="H416" s="3"/>
      <c r="I416" s="3" t="s">
        <v>385</v>
      </c>
      <c r="J416" s="4"/>
      <c r="K416" s="3"/>
      <c r="L416" s="3" t="s">
        <v>49</v>
      </c>
      <c r="M416" s="3" t="s">
        <v>688</v>
      </c>
      <c r="N416" s="3" t="s">
        <v>689</v>
      </c>
    </row>
    <row r="417" customFormat="false" ht="15" hidden="false" customHeight="true" outlineLevel="0" collapsed="false">
      <c r="A417" s="3" t="s">
        <v>758</v>
      </c>
      <c r="B417" s="3" t="s">
        <v>494</v>
      </c>
      <c r="C417" s="3" t="s">
        <v>495</v>
      </c>
      <c r="D417" s="3" t="s">
        <v>496</v>
      </c>
      <c r="E417" s="3" t="s">
        <v>506</v>
      </c>
      <c r="F417" s="3" t="s">
        <v>759</v>
      </c>
      <c r="G417" s="3" t="s">
        <v>686</v>
      </c>
      <c r="H417" s="3"/>
      <c r="I417" s="3"/>
      <c r="J417" s="4" t="n">
        <v>6690.2</v>
      </c>
      <c r="K417" s="3" t="s">
        <v>141</v>
      </c>
      <c r="L417" s="3" t="s">
        <v>47</v>
      </c>
      <c r="M417" s="3" t="s">
        <v>688</v>
      </c>
      <c r="N417" s="3" t="s">
        <v>689</v>
      </c>
    </row>
    <row r="418" customFormat="false" ht="15" hidden="false" customHeight="true" outlineLevel="0" collapsed="false">
      <c r="A418" s="3" t="s">
        <v>760</v>
      </c>
      <c r="B418" s="3" t="s">
        <v>494</v>
      </c>
      <c r="C418" s="3" t="s">
        <v>495</v>
      </c>
      <c r="D418" s="3" t="s">
        <v>496</v>
      </c>
      <c r="E418" s="3" t="s">
        <v>510</v>
      </c>
      <c r="F418" s="3" t="s">
        <v>759</v>
      </c>
      <c r="G418" s="3" t="s">
        <v>686</v>
      </c>
      <c r="H418" s="3"/>
      <c r="I418" s="3"/>
      <c r="J418" s="4" t="n">
        <v>2563.2</v>
      </c>
      <c r="K418" s="3" t="s">
        <v>761</v>
      </c>
      <c r="L418" s="3" t="s">
        <v>245</v>
      </c>
      <c r="M418" s="3" t="s">
        <v>688</v>
      </c>
      <c r="N418" s="3" t="s">
        <v>689</v>
      </c>
    </row>
    <row r="419" customFormat="false" ht="15" hidden="false" customHeight="true" outlineLevel="0" collapsed="false">
      <c r="A419" s="3" t="s">
        <v>762</v>
      </c>
      <c r="B419" s="3" t="s">
        <v>763</v>
      </c>
      <c r="C419" s="3" t="s">
        <v>763</v>
      </c>
      <c r="D419" s="3" t="s">
        <v>764</v>
      </c>
      <c r="E419" s="3" t="s">
        <v>765</v>
      </c>
      <c r="F419" s="3" t="s">
        <v>197</v>
      </c>
      <c r="G419" s="3" t="s">
        <v>763</v>
      </c>
      <c r="H419" s="3"/>
      <c r="I419" s="3"/>
      <c r="J419" s="4" t="n">
        <v>1510.1</v>
      </c>
      <c r="K419" s="3"/>
      <c r="L419" s="3" t="s">
        <v>49</v>
      </c>
      <c r="M419" s="3" t="s">
        <v>766</v>
      </c>
      <c r="N419" s="3"/>
    </row>
    <row r="420" customFormat="false" ht="15" hidden="false" customHeight="true" outlineLevel="0" collapsed="false">
      <c r="A420" s="3" t="s">
        <v>767</v>
      </c>
      <c r="B420" s="3" t="s">
        <v>763</v>
      </c>
      <c r="C420" s="3" t="s">
        <v>763</v>
      </c>
      <c r="D420" s="3" t="s">
        <v>764</v>
      </c>
      <c r="E420" s="3" t="s">
        <v>765</v>
      </c>
      <c r="F420" s="3" t="s">
        <v>197</v>
      </c>
      <c r="G420" s="3" t="s">
        <v>763</v>
      </c>
      <c r="H420" s="3"/>
      <c r="I420" s="3"/>
      <c r="J420" s="4" t="n">
        <v>150.6</v>
      </c>
      <c r="K420" s="3"/>
      <c r="L420" s="3" t="s">
        <v>49</v>
      </c>
      <c r="M420" s="3" t="s">
        <v>766</v>
      </c>
      <c r="N420" s="3"/>
    </row>
    <row r="421" customFormat="false" ht="15" hidden="false" customHeight="true" outlineLevel="0" collapsed="false">
      <c r="A421" s="3" t="s">
        <v>768</v>
      </c>
      <c r="B421" s="3" t="s">
        <v>763</v>
      </c>
      <c r="C421" s="3" t="s">
        <v>763</v>
      </c>
      <c r="D421" s="3" t="s">
        <v>764</v>
      </c>
      <c r="E421" s="3" t="s">
        <v>765</v>
      </c>
      <c r="F421" s="3" t="s">
        <v>197</v>
      </c>
      <c r="G421" s="3" t="s">
        <v>763</v>
      </c>
      <c r="H421" s="3"/>
      <c r="I421" s="3"/>
      <c r="J421" s="4"/>
      <c r="K421" s="3" t="s">
        <v>769</v>
      </c>
      <c r="L421" s="3" t="s">
        <v>47</v>
      </c>
      <c r="M421" s="3" t="s">
        <v>766</v>
      </c>
      <c r="N421" s="3"/>
    </row>
  </sheetData>
  <autoFilter ref="A1:N4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22"/>
    <col collapsed="false" customWidth="true" hidden="false" outlineLevel="0" max="4" min="4" style="1" width="14"/>
  </cols>
  <sheetData>
    <row r="1" customFormat="false" ht="15.75" hidden="false" customHeight="true" outlineLevel="0" collapsed="false">
      <c r="A1" s="5" t="s">
        <v>770</v>
      </c>
    </row>
    <row r="2" customFormat="false" ht="39.75" hidden="false" customHeight="true" outlineLevel="0" collapsed="false">
      <c r="A2" s="6" t="s">
        <v>771</v>
      </c>
      <c r="B2" s="6"/>
      <c r="C2" s="6"/>
      <c r="D2" s="6"/>
    </row>
    <row r="4" customFormat="false" ht="15" hidden="false" customHeight="true" outlineLevel="0" collapsed="false">
      <c r="A4" s="7" t="s">
        <v>6</v>
      </c>
      <c r="B4" s="7" t="s">
        <v>772</v>
      </c>
      <c r="C4" s="7" t="s">
        <v>9</v>
      </c>
      <c r="D4" s="7" t="s">
        <v>773</v>
      </c>
    </row>
    <row r="5" customFormat="false" ht="15" hidden="false" customHeight="true" outlineLevel="0" collapsed="false">
      <c r="A5" s="3" t="s">
        <v>20</v>
      </c>
      <c r="B5" s="3" t="n">
        <f aca="false">COUNTIF('Tri des prélèvements'!$G$2:$G$421,A5)</f>
        <v>4</v>
      </c>
      <c r="C5" s="4" t="n">
        <f aca="false">SUMIF('Tri des prélèvements'!$G$2:$G$421,A5,'Tri des prélèvements'!$J$2:$J$421)</f>
        <v>457710.6</v>
      </c>
      <c r="D5" s="8" t="n">
        <f aca="false">IFERROR(C5/$C$10,0)</f>
        <v>0.522054257027467</v>
      </c>
    </row>
    <row r="6" customFormat="false" ht="15" hidden="false" customHeight="true" outlineLevel="0" collapsed="false">
      <c r="A6" s="3" t="s">
        <v>41</v>
      </c>
      <c r="B6" s="3" t="n">
        <f aca="false">COUNTIF('Tri des prélèvements'!$G$2:$G$421,A6)</f>
        <v>258</v>
      </c>
      <c r="C6" s="4" t="n">
        <f aca="false">SUMIF('Tri des prélèvements'!$G$2:$G$421,A6,'Tri des prélèvements'!$J$2:$J$421)</f>
        <v>310765.1</v>
      </c>
      <c r="D6" s="8" t="n">
        <f aca="false">IFERROR(C6/$C$10,0)</f>
        <v>0.354451575713052</v>
      </c>
    </row>
    <row r="7" customFormat="false" ht="15" hidden="false" customHeight="true" outlineLevel="0" collapsed="false">
      <c r="A7" s="3" t="s">
        <v>532</v>
      </c>
      <c r="B7" s="3" t="n">
        <f aca="false">COUNTIF('Tri des prélèvements'!$G$2:$G$421,A7)</f>
        <v>112</v>
      </c>
      <c r="C7" s="4" t="n">
        <f aca="false">SUMIF('Tri des prélèvements'!$G$2:$G$421,A7,'Tri des prélèvements'!$J$2:$J$421)</f>
        <v>43963.4</v>
      </c>
      <c r="D7" s="8" t="n">
        <f aca="false">IFERROR(C7/$C$10,0)</f>
        <v>0.0501436499906302</v>
      </c>
    </row>
    <row r="8" customFormat="false" ht="15" hidden="false" customHeight="true" outlineLevel="0" collapsed="false">
      <c r="A8" s="3" t="s">
        <v>686</v>
      </c>
      <c r="B8" s="3" t="n">
        <f aca="false">COUNTIF('Tri des prélèvements'!$G$2:$G$421,A8)</f>
        <v>43</v>
      </c>
      <c r="C8" s="4" t="n">
        <f aca="false">SUMIF('Tri des prélèvements'!$G$2:$G$421,A8,'Tri des prélèvements'!$J$2:$J$421)</f>
        <v>62649.3</v>
      </c>
      <c r="D8" s="8" t="n">
        <f aca="false">IFERROR(C8/$C$10,0)</f>
        <v>0.0714563607764183</v>
      </c>
    </row>
    <row r="9" customFormat="false" ht="15" hidden="false" customHeight="true" outlineLevel="0" collapsed="false">
      <c r="A9" s="3" t="s">
        <v>763</v>
      </c>
      <c r="B9" s="3" t="n">
        <f aca="false">COUNTIF('Tri des prélèvements'!$G$2:$G$421,A9)</f>
        <v>3</v>
      </c>
      <c r="C9" s="4" t="n">
        <f aca="false">SUMIF('Tri des prélèvements'!$G$2:$G$421,A9,'Tri des prélèvements'!$J$2:$J$421)</f>
        <v>1660.7</v>
      </c>
      <c r="D9" s="8" t="n">
        <f aca="false">IFERROR(C9/$C$10,0)</f>
        <v>0.00189415649243324</v>
      </c>
    </row>
    <row r="10" customFormat="false" ht="15" hidden="false" customHeight="true" outlineLevel="0" collapsed="false">
      <c r="A10" s="9" t="s">
        <v>774</v>
      </c>
      <c r="B10" s="9" t="n">
        <f aca="false">SUM(B5:B9)</f>
        <v>420</v>
      </c>
      <c r="C10" s="10" t="n">
        <f aca="false">SUM(C5:C9)</f>
        <v>876749.1</v>
      </c>
    </row>
    <row r="12" customFormat="false" ht="15" hidden="false" customHeight="true" outlineLevel="0" collapsed="false">
      <c r="A12" s="11" t="s">
        <v>775</v>
      </c>
    </row>
    <row r="13" customFormat="false" ht="15" hidden="false" customHeight="true" outlineLevel="0" collapsed="false">
      <c r="A13" s="11" t="s">
        <v>776</v>
      </c>
    </row>
    <row r="14" customFormat="false" ht="15" hidden="false" customHeight="true" outlineLevel="0" collapsed="false">
      <c r="A14" s="11" t="s">
        <v>777</v>
      </c>
    </row>
    <row r="15" customFormat="false" ht="15" hidden="false" customHeight="true" outlineLevel="0" collapsed="false">
      <c r="A15" s="11" t="s">
        <v>778</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2"/>
    <col collapsed="false" customWidth="true" hidden="false" outlineLevel="0" max="2" min="2" style="1" width="12"/>
    <col collapsed="false" customWidth="true" hidden="false" outlineLevel="0" max="3" min="3" style="1" width="22"/>
    <col collapsed="false" customWidth="true" hidden="false" outlineLevel="0" max="4" min="4" style="1" width="14"/>
  </cols>
  <sheetData>
    <row r="1" customFormat="false" ht="15.75" hidden="false" customHeight="true" outlineLevel="0" collapsed="false">
      <c r="A1" s="5" t="s">
        <v>779</v>
      </c>
    </row>
    <row r="2" customFormat="false" ht="39.75" hidden="false" customHeight="true" outlineLevel="0" collapsed="false">
      <c r="A2" s="6" t="s">
        <v>780</v>
      </c>
      <c r="B2" s="6"/>
      <c r="C2" s="6"/>
      <c r="D2" s="6"/>
    </row>
    <row r="4" customFormat="false" ht="15" hidden="false" customHeight="true" outlineLevel="0" collapsed="false">
      <c r="A4" s="7" t="s">
        <v>1</v>
      </c>
      <c r="B4" s="7" t="s">
        <v>772</v>
      </c>
      <c r="C4" s="7" t="s">
        <v>9</v>
      </c>
      <c r="D4" s="7" t="s">
        <v>773</v>
      </c>
    </row>
    <row r="5" customFormat="false" ht="15" hidden="false" customHeight="true" outlineLevel="0" collapsed="false">
      <c r="A5" s="3" t="s">
        <v>15</v>
      </c>
      <c r="B5" s="3" t="n">
        <f aca="false">COUNTIF('Tri des prélèvements'!$B$2:$B$421,A5)</f>
        <v>288</v>
      </c>
      <c r="C5" s="4" t="n">
        <f aca="false">SUMIF('Tri des prélèvements'!$B$2:$B$421,A5,'Tri des prélèvements'!$J$2:$J$421)</f>
        <v>638772.3</v>
      </c>
      <c r="D5" s="8" t="n">
        <f aca="false">IFERROR(C5/$C$10,0)</f>
        <v>0.728569096905831</v>
      </c>
    </row>
    <row r="6" customFormat="false" ht="15" hidden="false" customHeight="true" outlineLevel="0" collapsed="false">
      <c r="A6" s="3" t="s">
        <v>517</v>
      </c>
      <c r="B6" s="3" t="n">
        <f aca="false">COUNTIF('Tri des prélèvements'!$B$2:$B$421,A6)</f>
        <v>83</v>
      </c>
      <c r="C6" s="4" t="n">
        <f aca="false">SUMIF('Tri des prélèvements'!$B$2:$B$421,A6,'Tri des prélèvements'!$J$2:$J$421)</f>
        <v>2212.8</v>
      </c>
      <c r="D6" s="8" t="n">
        <f aca="false">IFERROR(C6/$C$10,0)</f>
        <v>0.00252386914340716</v>
      </c>
    </row>
    <row r="7" customFormat="false" ht="15" hidden="false" customHeight="true" outlineLevel="0" collapsed="false">
      <c r="A7" s="3" t="s">
        <v>494</v>
      </c>
      <c r="B7" s="3" t="n">
        <f aca="false">COUNTIF('Tri des prélèvements'!$B$2:$B$421,A7)</f>
        <v>16</v>
      </c>
      <c r="C7" s="4" t="n">
        <f aca="false">SUMIF('Tri des prélèvements'!$B$2:$B$421,A7,'Tri des prélèvements'!$J$2:$J$421)</f>
        <v>192352.7</v>
      </c>
      <c r="D7" s="8" t="n">
        <f aca="false">IFERROR(C7/$C$10,0)</f>
        <v>0.219393096611106</v>
      </c>
    </row>
    <row r="8" customFormat="false" ht="15" hidden="false" customHeight="true" outlineLevel="0" collapsed="false">
      <c r="A8" s="3" t="s">
        <v>529</v>
      </c>
      <c r="B8" s="3" t="n">
        <f aca="false">COUNTIF('Tri des prélèvements'!$B$2:$B$421,A8)</f>
        <v>30</v>
      </c>
      <c r="C8" s="4" t="n">
        <f aca="false">SUMIF('Tri des prélèvements'!$B$2:$B$421,A8,'Tri des prélèvements'!$J$2:$J$421)</f>
        <v>41750.6</v>
      </c>
      <c r="D8" s="8" t="n">
        <f aca="false">IFERROR(C8/$C$10,0)</f>
        <v>0.047619780847223</v>
      </c>
    </row>
    <row r="9" customFormat="false" ht="15" hidden="false" customHeight="true" outlineLevel="0" collapsed="false">
      <c r="A9" s="3" t="s">
        <v>763</v>
      </c>
      <c r="B9" s="3" t="n">
        <f aca="false">COUNTIF('Tri des prélèvements'!$B$2:$B$421,A9)</f>
        <v>3</v>
      </c>
      <c r="C9" s="4" t="n">
        <f aca="false">SUMIF('Tri des prélèvements'!$B$2:$B$421,A9,'Tri des prélèvements'!$J$2:$J$421)</f>
        <v>1660.7</v>
      </c>
      <c r="D9" s="8" t="n">
        <f aca="false">IFERROR(C9/$C$10,0)</f>
        <v>0.00189415649243324</v>
      </c>
    </row>
    <row r="10" customFormat="false" ht="15" hidden="false" customHeight="true" outlineLevel="0" collapsed="false">
      <c r="A10" s="9" t="s">
        <v>774</v>
      </c>
      <c r="B10" s="9" t="n">
        <f aca="false">SUM(B5:B9)</f>
        <v>420</v>
      </c>
      <c r="C10" s="10" t="n">
        <f aca="false">SUM(C5:C9)</f>
        <v>876749.1</v>
      </c>
    </row>
    <row r="12" customFormat="false" ht="15" hidden="false" customHeight="true" outlineLevel="0" collapsed="false">
      <c r="A12" s="11" t="s">
        <v>781</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24"/>
    <col collapsed="false" customWidth="true" hidden="false" outlineLevel="0" max="3" min="3" style="1" width="26"/>
  </cols>
  <sheetData>
    <row r="1" customFormat="false" ht="15" hidden="false" customHeight="true" outlineLevel="0" collapsed="false">
      <c r="A1" s="7" t="s">
        <v>7</v>
      </c>
      <c r="B1" s="7" t="s">
        <v>782</v>
      </c>
      <c r="C1" s="7" t="s">
        <v>783</v>
      </c>
    </row>
    <row r="2" customFormat="false" ht="15" hidden="false" customHeight="true" outlineLevel="0" collapsed="false">
      <c r="A2" s="3" t="s">
        <v>385</v>
      </c>
      <c r="B2" s="3" t="n">
        <f aca="false">COUNTIF('Tri des prélèvements'!$H$2:$H$421,A2)</f>
        <v>66</v>
      </c>
      <c r="C2" s="4" t="n">
        <f aca="false">SUMIF('Tri des prélèvements'!$H$2:$H$421,A2,'Tri des prélèvements'!$J$2:$J$421)</f>
        <v>27822.9</v>
      </c>
    </row>
    <row r="3" customFormat="false" ht="15" hidden="false" customHeight="true" outlineLevel="0" collapsed="false">
      <c r="A3" s="3" t="s">
        <v>42</v>
      </c>
      <c r="B3" s="3" t="n">
        <f aca="false">COUNTIF('Tri des prélèvements'!$H$2:$H$421,A3)</f>
        <v>26</v>
      </c>
      <c r="C3" s="4" t="n">
        <f aca="false">SUMIF('Tri des prélèvements'!$H$2:$H$421,A3,'Tri des prélèvements'!$J$2:$J$421)</f>
        <v>195738.5</v>
      </c>
    </row>
    <row r="4" customFormat="false" ht="15" hidden="false" customHeight="true" outlineLevel="0" collapsed="false">
      <c r="A4" s="3" t="s">
        <v>29</v>
      </c>
      <c r="B4" s="3" t="n">
        <f aca="false">COUNTIF('Tri des prélèvements'!$H$2:$H$421,A4)</f>
        <v>50</v>
      </c>
      <c r="C4" s="4" t="n">
        <f aca="false">SUMIF('Tri des prélèvements'!$H$2:$H$421,A4,'Tri des prélèvements'!$J$2:$J$421)</f>
        <v>21757.5</v>
      </c>
    </row>
    <row r="5" customFormat="false" ht="15" hidden="false" customHeight="true" outlineLevel="0" collapsed="false">
      <c r="A5" s="3" t="s">
        <v>37</v>
      </c>
      <c r="B5" s="3" t="n">
        <f aca="false">COUNTIF('Tri des prélèvements'!$H$2:$H$421,A5)</f>
        <v>116</v>
      </c>
      <c r="C5" s="4" t="n">
        <f aca="false">SUMIF('Tri des prélèvements'!$H$2:$H$421,A5,'Tri des prélèvements'!$J$2:$J$421)</f>
        <v>65446.2</v>
      </c>
    </row>
    <row r="6" customFormat="false" ht="15" hidden="false" customHeight="true" outlineLevel="0" collapsed="false">
      <c r="A6" s="9" t="s">
        <v>784</v>
      </c>
      <c r="B6" s="9" t="n">
        <f aca="false">SUM(B2:B5)</f>
        <v>258</v>
      </c>
      <c r="C6" s="10" t="n">
        <f aca="false">SUM(C2:C5)</f>
        <v>310765.1</v>
      </c>
    </row>
    <row r="8" customFormat="false" ht="15" hidden="false" customHeight="true" outlineLevel="0" collapsed="false">
      <c r="A8" s="11" t="s">
        <v>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2" min="2" style="1" width="12"/>
    <col collapsed="false" customWidth="true" hidden="false" outlineLevel="0" max="3" min="3" style="1" width="24"/>
    <col collapsed="false" customWidth="true" hidden="false" outlineLevel="0" max="4" min="4" style="1" width="34"/>
  </cols>
  <sheetData>
    <row r="1" customFormat="false" ht="15.75" hidden="false" customHeight="true" outlineLevel="0" collapsed="false">
      <c r="A1" s="5" t="s">
        <v>786</v>
      </c>
    </row>
    <row r="2" customFormat="false" ht="37.5" hidden="false" customHeight="true" outlineLevel="0" collapsed="false">
      <c r="A2" s="6" t="s">
        <v>787</v>
      </c>
      <c r="B2" s="6"/>
      <c r="C2" s="6"/>
      <c r="D2" s="6"/>
    </row>
    <row r="4" customFormat="false" ht="15" hidden="false" customHeight="true" outlineLevel="0" collapsed="false">
      <c r="A4" s="7" t="s">
        <v>788</v>
      </c>
      <c r="B4" s="7" t="s">
        <v>789</v>
      </c>
      <c r="C4" s="7" t="s">
        <v>9</v>
      </c>
      <c r="D4" s="7" t="s">
        <v>8</v>
      </c>
    </row>
    <row r="5" customFormat="false" ht="15" hidden="false" customHeight="true" outlineLevel="0" collapsed="false">
      <c r="A5" s="3" t="s">
        <v>389</v>
      </c>
      <c r="B5" s="3" t="n">
        <v>12</v>
      </c>
      <c r="C5" s="4" t="n">
        <v>16204.9</v>
      </c>
      <c r="D5" s="3" t="s">
        <v>385</v>
      </c>
    </row>
    <row r="6" customFormat="false" ht="15" hidden="false" customHeight="true" outlineLevel="0" collapsed="false">
      <c r="A6" s="3" t="s">
        <v>685</v>
      </c>
      <c r="B6" s="3" t="n">
        <v>8</v>
      </c>
      <c r="C6" s="4" t="n">
        <v>13548.2</v>
      </c>
      <c r="D6" s="3" t="s">
        <v>385</v>
      </c>
    </row>
    <row r="7" customFormat="false" ht="15" hidden="false" customHeight="true" outlineLevel="0" collapsed="false">
      <c r="A7" s="3" t="s">
        <v>759</v>
      </c>
      <c r="B7" s="3" t="n">
        <v>2</v>
      </c>
      <c r="C7" s="4" t="n">
        <v>9253.4</v>
      </c>
      <c r="D7" s="3" t="s">
        <v>197</v>
      </c>
    </row>
    <row r="8" customFormat="false" ht="15" hidden="false" customHeight="true" outlineLevel="0" collapsed="false">
      <c r="A8" s="3" t="s">
        <v>706</v>
      </c>
      <c r="B8" s="3" t="n">
        <v>3</v>
      </c>
      <c r="C8" s="4" t="n">
        <v>1744</v>
      </c>
      <c r="D8" s="3" t="s">
        <v>385</v>
      </c>
    </row>
    <row r="9" customFormat="false" ht="15" hidden="false" customHeight="true" outlineLevel="0" collapsed="false">
      <c r="A9" s="3" t="s">
        <v>713</v>
      </c>
      <c r="B9" s="3" t="n">
        <v>8</v>
      </c>
      <c r="C9" s="4" t="n">
        <v>1346.2</v>
      </c>
      <c r="D9" s="3" t="s">
        <v>385</v>
      </c>
    </row>
    <row r="10" customFormat="false" ht="15" hidden="false" customHeight="true" outlineLevel="0" collapsed="false">
      <c r="A10" s="3" t="s">
        <v>695</v>
      </c>
      <c r="B10" s="3" t="n">
        <v>10</v>
      </c>
      <c r="C10" s="4" t="n">
        <v>20552.6</v>
      </c>
      <c r="D10" s="3" t="s">
        <v>385</v>
      </c>
    </row>
    <row r="11" customFormat="false" ht="15" hidden="false" customHeight="true" outlineLevel="0" collapsed="false">
      <c r="A11" s="9" t="s">
        <v>774</v>
      </c>
      <c r="B11" s="9" t="n">
        <f aca="false">SUM(B5:B10)</f>
        <v>43</v>
      </c>
      <c r="C11" s="10" t="n">
        <f aca="false">SUM(C5:C10)</f>
        <v>62649.3</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56"/>
    <col collapsed="false" customWidth="true" hidden="false" outlineLevel="0" max="3" min="3" style="1" width="26"/>
  </cols>
  <sheetData>
    <row r="1" customFormat="false" ht="15" hidden="false" customHeight="true" outlineLevel="0" collapsed="false">
      <c r="A1" s="7" t="s">
        <v>790</v>
      </c>
      <c r="B1" s="7" t="s">
        <v>791</v>
      </c>
      <c r="C1" s="7" t="s">
        <v>792</v>
      </c>
    </row>
    <row r="2" customFormat="false" ht="15" hidden="false" customHeight="true" outlineLevel="0" collapsed="false">
      <c r="A2" s="3" t="s">
        <v>793</v>
      </c>
      <c r="B2" s="3" t="s">
        <v>794</v>
      </c>
      <c r="C2" s="3" t="s">
        <v>795</v>
      </c>
    </row>
    <row r="3" customFormat="false" ht="15" hidden="false" customHeight="true" outlineLevel="0" collapsed="false">
      <c r="A3" s="3" t="s">
        <v>796</v>
      </c>
      <c r="B3" s="3" t="s">
        <v>797</v>
      </c>
      <c r="C3" s="3" t="s">
        <v>795</v>
      </c>
    </row>
    <row r="4" customFormat="false" ht="15" hidden="false" customHeight="true" outlineLevel="0" collapsed="false">
      <c r="A4" s="3" t="s">
        <v>798</v>
      </c>
      <c r="B4" s="3" t="s">
        <v>799</v>
      </c>
      <c r="C4" s="3" t="s">
        <v>800</v>
      </c>
    </row>
    <row r="5" customFormat="false" ht="15" hidden="false" customHeight="true" outlineLevel="0" collapsed="false">
      <c r="A5" s="3" t="s">
        <v>801</v>
      </c>
      <c r="B5" s="3" t="s">
        <v>802</v>
      </c>
      <c r="C5" s="3" t="s">
        <v>795</v>
      </c>
    </row>
    <row r="6" customFormat="false" ht="15" hidden="false" customHeight="true" outlineLevel="0" collapsed="false">
      <c r="A6" s="3" t="s">
        <v>803</v>
      </c>
      <c r="B6" s="3" t="s">
        <v>804</v>
      </c>
      <c r="C6" s="3" t="s">
        <v>805</v>
      </c>
    </row>
    <row r="7" customFormat="false" ht="15" hidden="false" customHeight="true" outlineLevel="0" collapsed="false">
      <c r="A7" s="3" t="s">
        <v>806</v>
      </c>
      <c r="B7" s="3" t="s">
        <v>807</v>
      </c>
      <c r="C7" s="3" t="s">
        <v>805</v>
      </c>
    </row>
    <row r="8" customFormat="false" ht="15" hidden="false" customHeight="true" outlineLevel="0" collapsed="false">
      <c r="A8" s="3" t="s">
        <v>808</v>
      </c>
      <c r="B8" s="3" t="s">
        <v>809</v>
      </c>
      <c r="C8" s="3" t="s">
        <v>805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4" min="3" style="0" width="26"/>
    <col collapsed="false" customWidth="true" hidden="false" outlineLevel="0" max="5" min="5" style="0" width="28"/>
    <col collapsed="false" customWidth="true" hidden="false" outlineLevel="0" max="8" min="8" style="0" width="36"/>
    <col collapsed="false" customWidth="true" hidden="false" outlineLevel="0" max="9" min="9" style="0" width="14"/>
  </cols>
  <sheetData>
    <row r="1" customFormat="false" ht="16.15" hidden="false" customHeight="false" outlineLevel="0" collapsed="false">
      <c r="A1" s="12" t="s">
        <v>810</v>
      </c>
      <c r="H1" s="13" t="s">
        <v>811</v>
      </c>
    </row>
    <row r="2" customFormat="false" ht="39.75" hidden="false" customHeight="true" outlineLevel="0" collapsed="false">
      <c r="A2" s="6" t="s">
        <v>812</v>
      </c>
      <c r="B2" s="6"/>
      <c r="C2" s="6"/>
      <c r="D2" s="6"/>
      <c r="E2" s="6"/>
      <c r="H2" s="14" t="s">
        <v>813</v>
      </c>
      <c r="I2" s="15" t="n">
        <v>114.46</v>
      </c>
    </row>
    <row r="3" customFormat="false" ht="15" hidden="false" customHeight="false" outlineLevel="0" collapsed="false">
      <c r="H3" s="14" t="s">
        <v>814</v>
      </c>
      <c r="I3" s="14" t="n">
        <v>9.7</v>
      </c>
    </row>
    <row r="4" customFormat="false" ht="23.85" hidden="false" customHeight="false" outlineLevel="0" collapsed="false">
      <c r="A4" s="2" t="s">
        <v>815</v>
      </c>
      <c r="B4" s="2" t="s">
        <v>816</v>
      </c>
      <c r="C4" s="2" t="s">
        <v>817</v>
      </c>
      <c r="D4" s="2" t="s">
        <v>818</v>
      </c>
      <c r="E4" s="2" t="s">
        <v>819</v>
      </c>
      <c r="H4" s="14" t="s">
        <v>820</v>
      </c>
      <c r="I4" s="16" t="n">
        <f aca="false">I2/I3/12</f>
        <v>0.983333333333333</v>
      </c>
    </row>
    <row r="5" customFormat="false" ht="15" hidden="false" customHeight="false" outlineLevel="0" collapsed="false">
      <c r="A5" s="17" t="s">
        <v>821</v>
      </c>
      <c r="B5" s="17" t="s">
        <v>822</v>
      </c>
      <c r="C5" s="18" t="n">
        <v>9.7</v>
      </c>
      <c r="D5" s="19" t="n">
        <v>0</v>
      </c>
      <c r="E5" s="19" t="n">
        <v>0</v>
      </c>
    </row>
    <row r="6" customFormat="false" ht="15" hidden="false" customHeight="false" outlineLevel="0" collapsed="false">
      <c r="A6" s="17" t="s">
        <v>823</v>
      </c>
      <c r="B6" s="17"/>
      <c r="C6" s="18" t="n">
        <v>9.7</v>
      </c>
      <c r="D6" s="19" t="n">
        <v>0</v>
      </c>
      <c r="E6" s="19" t="n">
        <v>0</v>
      </c>
    </row>
    <row r="7" customFormat="false" ht="15" hidden="false" customHeight="false" outlineLevel="0" collapsed="false">
      <c r="A7" s="17" t="s">
        <v>824</v>
      </c>
      <c r="B7" s="17" t="s">
        <v>825</v>
      </c>
      <c r="C7" s="18" t="n">
        <v>8.1</v>
      </c>
      <c r="D7" s="19" t="n">
        <f aca="false">($I$3-C7)*$I$4</f>
        <v>1.57333333333333</v>
      </c>
      <c r="E7" s="20" t="n">
        <f aca="false">SUM(D7:D9)</f>
        <v>9.53833333333333</v>
      </c>
    </row>
    <row r="8" customFormat="false" ht="15" hidden="false" customHeight="false" outlineLevel="0" collapsed="false">
      <c r="A8" s="17"/>
      <c r="B8" s="17" t="s">
        <v>826</v>
      </c>
      <c r="C8" s="18" t="n">
        <v>6.5</v>
      </c>
      <c r="D8" s="19" t="n">
        <f aca="false">($I$3-C8)*$I$4</f>
        <v>3.14666666666667</v>
      </c>
      <c r="E8" s="21"/>
    </row>
    <row r="9" customFormat="false" ht="15" hidden="false" customHeight="false" outlineLevel="0" collapsed="false">
      <c r="A9" s="17"/>
      <c r="B9" s="17" t="s">
        <v>827</v>
      </c>
      <c r="C9" s="18" t="n">
        <v>4.8</v>
      </c>
      <c r="D9" s="19" t="n">
        <f aca="false">($I$3-C9)*$I$4</f>
        <v>4.81833333333333</v>
      </c>
      <c r="E9" s="21"/>
    </row>
    <row r="10" customFormat="false" ht="15" hidden="false" customHeight="false" outlineLevel="0" collapsed="false">
      <c r="A10" s="17" t="s">
        <v>828</v>
      </c>
      <c r="B10" s="17" t="s">
        <v>829</v>
      </c>
      <c r="C10" s="18" t="n">
        <v>3.2</v>
      </c>
      <c r="D10" s="19" t="n">
        <f aca="false">($I$3-C10)*$I$4</f>
        <v>6.39166666666667</v>
      </c>
      <c r="E10" s="20" t="n">
        <f aca="false">SUM(D10:D12)</f>
        <v>23.895</v>
      </c>
    </row>
    <row r="11" customFormat="false" ht="15" hidden="false" customHeight="false" outlineLevel="0" collapsed="false">
      <c r="A11" s="17"/>
      <c r="B11" s="17" t="s">
        <v>830</v>
      </c>
      <c r="C11" s="18" t="n">
        <v>1.6</v>
      </c>
      <c r="D11" s="19" t="n">
        <f aca="false">($I$3-C11)*$I$4</f>
        <v>7.965</v>
      </c>
      <c r="E11" s="21"/>
    </row>
    <row r="12" customFormat="false" ht="15" hidden="false" customHeight="false" outlineLevel="0" collapsed="false">
      <c r="A12" s="17"/>
      <c r="B12" s="17" t="s">
        <v>831</v>
      </c>
      <c r="C12" s="18" t="n">
        <v>0</v>
      </c>
      <c r="D12" s="19" t="n">
        <f aca="false">($I$3-C12)*$I$4</f>
        <v>9.53833333333333</v>
      </c>
      <c r="E12" s="21"/>
    </row>
    <row r="13" customFormat="false" ht="15" hidden="false" customHeight="false" outlineLevel="0" collapsed="false">
      <c r="A13" s="13" t="s">
        <v>832</v>
      </c>
      <c r="D13" s="22" t="n">
        <f aca="false">SUM(D5:D12)</f>
        <v>33.4333333333333</v>
      </c>
      <c r="E13" s="22" t="n">
        <f aca="false">E7+E10</f>
        <v>33.4333333333333</v>
      </c>
    </row>
    <row r="14" customFormat="false" ht="15" hidden="false" customHeight="false" outlineLevel="0" collapsed="false">
      <c r="A14" s="13" t="s">
        <v>833</v>
      </c>
      <c r="D14" s="22" t="n">
        <f aca="false">$I$2/4</f>
        <v>28.615</v>
      </c>
    </row>
    <row r="16" customFormat="false" ht="15" hidden="false" customHeight="false" outlineLevel="0" collapsed="false">
      <c r="A16" s="23" t="s">
        <v>834</v>
      </c>
    </row>
    <row r="17" customFormat="false" ht="15" hidden="false" customHeight="false" outlineLevel="0" collapsed="false">
      <c r="A17" s="23" t="s">
        <v>835</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52"/>
    <col collapsed="false" customWidth="true" hidden="false" outlineLevel="0" max="3" min="3" style="0" width="22"/>
    <col collapsed="false" customWidth="true" hidden="false" outlineLevel="0" max="4" min="4" style="0" width="30"/>
    <col collapsed="false" customWidth="true" hidden="false" outlineLevel="0" max="5" min="5" style="0" width="24"/>
  </cols>
  <sheetData>
    <row r="1" customFormat="false" ht="16.15" hidden="false" customHeight="false" outlineLevel="0" collapsed="false">
      <c r="A1" s="12" t="s">
        <v>836</v>
      </c>
    </row>
    <row r="2" customFormat="false" ht="37.5" hidden="false" customHeight="true" outlineLevel="0" collapsed="false">
      <c r="A2" s="6" t="s">
        <v>837</v>
      </c>
      <c r="B2" s="6"/>
      <c r="C2" s="6"/>
      <c r="D2" s="6"/>
      <c r="E2" s="6"/>
    </row>
    <row r="4" customFormat="false" ht="23.85" hidden="false" customHeight="false" outlineLevel="0" collapsed="false">
      <c r="A4" s="2" t="s">
        <v>838</v>
      </c>
      <c r="B4" s="2" t="s">
        <v>839</v>
      </c>
      <c r="C4" s="2" t="s">
        <v>840</v>
      </c>
      <c r="D4" s="2" t="s">
        <v>841</v>
      </c>
      <c r="E4" s="2" t="s">
        <v>842</v>
      </c>
    </row>
    <row r="5" customFormat="false" ht="15" hidden="false" customHeight="false" outlineLevel="0" collapsed="false">
      <c r="A5" s="17" t="s">
        <v>843</v>
      </c>
      <c r="B5" s="17" t="s">
        <v>844</v>
      </c>
      <c r="C5" s="24" t="n">
        <v>15.1</v>
      </c>
      <c r="D5" s="24" t="n">
        <v>14.1</v>
      </c>
      <c r="E5" s="24" t="n">
        <v>29.2</v>
      </c>
    </row>
    <row r="6" customFormat="false" ht="15" hidden="false" customHeight="false" outlineLevel="0" collapsed="false">
      <c r="A6" s="17" t="s">
        <v>845</v>
      </c>
      <c r="B6" s="17" t="s">
        <v>846</v>
      </c>
      <c r="C6" s="24" t="n">
        <v>28.8</v>
      </c>
      <c r="D6" s="24" t="n">
        <v>16.2</v>
      </c>
      <c r="E6" s="24" t="n">
        <v>45</v>
      </c>
    </row>
    <row r="7" customFormat="false" ht="15" hidden="false" customHeight="false" outlineLevel="0" collapsed="false">
      <c r="A7" s="17" t="s">
        <v>847</v>
      </c>
      <c r="B7" s="17" t="s">
        <v>29</v>
      </c>
      <c r="C7" s="24" t="n">
        <v>8.2</v>
      </c>
      <c r="D7" s="24" t="n">
        <v>7.8</v>
      </c>
      <c r="E7" s="24" t="n">
        <v>16</v>
      </c>
    </row>
    <row r="8" customFormat="false" ht="15" hidden="false" customHeight="false" outlineLevel="0" collapsed="false">
      <c r="A8" s="17" t="s">
        <v>848</v>
      </c>
      <c r="B8" s="17" t="s">
        <v>849</v>
      </c>
      <c r="C8" s="24" t="n">
        <v>32.6</v>
      </c>
      <c r="D8" s="24" t="n">
        <v>22.9</v>
      </c>
      <c r="E8" s="24" t="n">
        <v>55.5</v>
      </c>
    </row>
    <row r="9" customFormat="false" ht="15" hidden="false" customHeight="false" outlineLevel="0" collapsed="false">
      <c r="A9" s="17" t="s">
        <v>850</v>
      </c>
      <c r="B9" s="17" t="s">
        <v>851</v>
      </c>
      <c r="C9" s="24" t="n">
        <v>19.6</v>
      </c>
      <c r="D9" s="24" t="n">
        <v>4.6</v>
      </c>
      <c r="E9" s="24" t="n">
        <v>24.2</v>
      </c>
    </row>
    <row r="10" customFormat="false" ht="15" hidden="false" customHeight="false" outlineLevel="0" collapsed="false">
      <c r="A10" s="17" t="s">
        <v>852</v>
      </c>
      <c r="B10" s="17" t="s">
        <v>853</v>
      </c>
      <c r="C10" s="24" t="n">
        <v>8.4</v>
      </c>
      <c r="D10" s="24" t="n">
        <v>11.5</v>
      </c>
      <c r="E10" s="24" t="n">
        <v>19.9</v>
      </c>
    </row>
    <row r="11" customFormat="false" ht="15" hidden="false" customHeight="false" outlineLevel="0" collapsed="false">
      <c r="A11" s="17" t="s">
        <v>854</v>
      </c>
      <c r="B11" s="17" t="s">
        <v>855</v>
      </c>
      <c r="C11" s="24" t="n">
        <v>9.9</v>
      </c>
      <c r="D11" s="24" t="n">
        <v>3.5</v>
      </c>
      <c r="E11" s="24" t="n">
        <v>13.4</v>
      </c>
    </row>
    <row r="12" customFormat="false" ht="15" hidden="false" customHeight="false" outlineLevel="0" collapsed="false">
      <c r="A12" s="17" t="s">
        <v>856</v>
      </c>
      <c r="B12" s="17" t="s">
        <v>857</v>
      </c>
      <c r="C12" s="24" t="n">
        <v>6.9</v>
      </c>
      <c r="D12" s="24" t="n">
        <v>16.1</v>
      </c>
      <c r="E12" s="24" t="n">
        <v>23</v>
      </c>
    </row>
    <row r="13" customFormat="false" ht="15" hidden="false" customHeight="false" outlineLevel="0" collapsed="false">
      <c r="A13" s="13" t="s">
        <v>774</v>
      </c>
      <c r="C13" s="25" t="n">
        <f aca="false">SUM(C5:C12)</f>
        <v>129.5</v>
      </c>
      <c r="D13" s="25" t="n">
        <f aca="false">SUM(D5:D12)</f>
        <v>96.7</v>
      </c>
      <c r="E13" s="25" t="n">
        <f aca="false">SUM(E5:E12)</f>
        <v>226.2</v>
      </c>
    </row>
    <row r="15" customFormat="false" ht="15" hidden="false" customHeight="false" outlineLevel="0" collapsed="false">
      <c r="A15" s="23" t="s">
        <v>858</v>
      </c>
    </row>
    <row r="16" customFormat="false" ht="15" hidden="false" customHeight="false" outlineLevel="0" collapsed="false">
      <c r="A16" s="23" t="s">
        <v>859</v>
      </c>
    </row>
    <row r="17" customFormat="false" ht="15" hidden="false" customHeight="false" outlineLevel="0" collapsed="false">
      <c r="A17" s="23" t="s">
        <v>860</v>
      </c>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2026-10-15T14:58:59Z</dcterms:created>
  <dc:creator>openpyxl</dc:creator>
  <dc:description/>
  <dc:language>en-US</dc:language>
  <cp:lastModifiedBy/>
  <dcterms:modified xsi:type="dcterms:W3CDTF">2026-10-15T14:59:44Z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